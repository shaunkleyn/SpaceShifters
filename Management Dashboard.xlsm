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3.bin" ContentType="application/vnd.openxmlformats-officedocument.spreadsheetml.customProperty"/>
  <Override PartName="/xl/tables/table1.xml" ContentType="application/vnd.openxmlformats-officedocument.spreadsheetml.table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tabRatio="692" firstSheet="1" activeTab="2"/>
  </bookViews>
  <sheets>
    <sheet name="Templates" sheetId="14" state="hidden" r:id="rId1"/>
    <sheet name="Data" sheetId="17" r:id="rId2"/>
    <sheet name="Dispatch Sheet" sheetId="13" r:id="rId3"/>
    <sheet name="South African Currencies" sheetId="16" state="hidden" r:id="rId4"/>
    <sheet name="Old Dispatch Sheet" sheetId="6" state="hidden" r:id="rId5"/>
    <sheet name="Exchange Rate" sheetId="12" state="hidden" r:id="rId6"/>
    <sheet name="Countries" sheetId="9" state="hidden" r:id="rId7"/>
    <sheet name="Dashboard" sheetId="1" r:id="rId8"/>
    <sheet name="Drivers" sheetId="3" r:id="rId9"/>
    <sheet name="Horses" sheetId="5" r:id="rId10"/>
    <sheet name="Trailers" sheetId="7" r:id="rId11"/>
    <sheet name="Inventory" sheetId="15" r:id="rId12"/>
  </sheets>
  <externalReferences>
    <externalReference r:id="rId13"/>
  </externalReference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2">'Dispatch Sheet'!$G$2:$AS$34</definedName>
    <definedName name="_xlnm.Print_Area" localSheetId="4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7" i="13" l="1"/>
  <c r="D17" i="13" s="1"/>
  <c r="F15" i="13"/>
  <c r="C15" i="13"/>
  <c r="F16" i="13"/>
  <c r="C16" i="13"/>
  <c r="AD16" i="14" l="1"/>
  <c r="AD23" i="13" l="1"/>
  <c r="D22" i="13" s="1"/>
  <c r="F15" i="14" l="1"/>
  <c r="C15" i="14"/>
  <c r="R17" i="13" l="1"/>
  <c r="D16" i="14" l="1"/>
  <c r="B13" i="13" l="1"/>
  <c r="E11" i="14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AD26" i="13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<sst xmlns="http://schemas.openxmlformats.org/spreadsheetml/2006/main" count="3734" uniqueCount="1488">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</sst>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1" tint="0.34998626667073579"/>
      </right>
      <top/>
      <bottom style="thin">
        <color theme="0" tint="-0.149937437055574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1" fillId="0" borderId="0" applyNumberFormat="0" applyFill="0" applyBorder="0" applyAlignment="0" applyProtection="0">
      <alignment horizontal="center" vertical="center"/>
    </xf>
  </cellStyleXfs>
  <cellXfs count="311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41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6" xfId="0" applyFont="1" applyFill="1" applyBorder="1" applyAlignment="1">
      <alignment horizontal="center" vertical="center"/>
    </xf>
    <xf numFmtId="0" fontId="33" fillId="12" borderId="66" xfId="0" applyFont="1" applyFill="1" applyBorder="1" applyAlignment="1">
      <alignment vertical="center"/>
    </xf>
    <xf numFmtId="0" fontId="41" fillId="12" borderId="66" xfId="2" applyFill="1" applyBorder="1" applyAlignment="1">
      <alignment vertical="center"/>
    </xf>
    <xf numFmtId="0" fontId="34" fillId="12" borderId="66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3" xfId="0" applyFont="1" applyFill="1" applyBorder="1" applyAlignment="1">
      <alignment horizontal="center" vertical="center"/>
    </xf>
    <xf numFmtId="0" fontId="28" fillId="0" borderId="54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38" fillId="0" borderId="0" xfId="0" applyFont="1" applyFill="1"/>
    <xf numFmtId="0" fontId="37" fillId="0" borderId="0" xfId="0" applyFont="1" applyFill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50" xfId="0" applyNumberFormat="1" applyFont="1" applyBorder="1" applyAlignment="1">
      <alignment vertical="center"/>
    </xf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27" fillId="10" borderId="69" xfId="0" applyFont="1" applyFill="1" applyBorder="1"/>
    <xf numFmtId="0" fontId="41" fillId="0" borderId="0" xfId="2" applyAlignment="1">
      <alignment horizontal="left" vertical="center"/>
    </xf>
    <xf numFmtId="0" fontId="41" fillId="0" borderId="0" xfId="2" applyAlignment="1">
      <alignment horizontal="left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1" fillId="0" borderId="0" xfId="2">
      <alignment horizontal="center" vertical="center"/>
    </xf>
    <xf numFmtId="0" fontId="39" fillId="0" borderId="0" xfId="2" applyFont="1">
      <alignment horizontal="center" vertical="center"/>
    </xf>
    <xf numFmtId="0" fontId="31" fillId="0" borderId="0" xfId="0" applyFont="1" applyBorder="1" applyAlignment="1">
      <alignment horizontal="right" vertical="center"/>
    </xf>
    <xf numFmtId="0" fontId="28" fillId="3" borderId="55" xfId="0" applyFont="1" applyFill="1" applyBorder="1" applyAlignment="1">
      <alignment vertical="center"/>
    </xf>
    <xf numFmtId="0" fontId="28" fillId="3" borderId="55" xfId="0" applyFont="1" applyFill="1" applyBorder="1" applyAlignment="1">
      <alignment horizontal="left" vertical="center"/>
    </xf>
    <xf numFmtId="0" fontId="28" fillId="3" borderId="56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43" fontId="30" fillId="0" borderId="60" xfId="0" applyNumberFormat="1" applyFont="1" applyBorder="1" applyAlignment="1">
      <alignment vertical="center"/>
    </xf>
    <xf numFmtId="43" fontId="30" fillId="0" borderId="61" xfId="0" applyNumberFormat="1" applyFont="1" applyBorder="1" applyAlignment="1">
      <alignment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Fill="1" applyBorder="1" applyAlignment="1">
      <alignment horizontal="left" vertical="center"/>
    </xf>
    <xf numFmtId="0" fontId="29" fillId="0" borderId="59" xfId="0" applyFont="1" applyBorder="1"/>
    <xf numFmtId="0" fontId="29" fillId="0" borderId="57" xfId="0" applyFont="1" applyBorder="1"/>
    <xf numFmtId="0" fontId="29" fillId="0" borderId="58" xfId="0" applyFont="1" applyBorder="1"/>
    <xf numFmtId="43" fontId="30" fillId="0" borderId="60" xfId="0" applyNumberFormat="1" applyFont="1" applyBorder="1" applyAlignment="1">
      <alignment horizontal="right" vertical="center"/>
    </xf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1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43" fontId="21" fillId="0" borderId="49" xfId="0" applyNumberFormat="1" applyFont="1" applyBorder="1" applyAlignment="1">
      <alignment vertical="center"/>
    </xf>
    <xf numFmtId="43" fontId="21" fillId="0" borderId="52" xfId="0" applyNumberFormat="1" applyFont="1" applyBorder="1" applyAlignment="1">
      <alignment vertical="center"/>
    </xf>
    <xf numFmtId="0" fontId="21" fillId="0" borderId="52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vertical="center"/>
    </xf>
    <xf numFmtId="0" fontId="28" fillId="11" borderId="67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3" borderId="56" xfId="0" applyFont="1" applyFill="1" applyBorder="1" applyAlignment="1">
      <alignment horizontal="lef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43" fontId="31" fillId="0" borderId="68" xfId="0" applyNumberFormat="1" applyFont="1" applyBorder="1" applyAlignment="1">
      <alignment horizontal="right" vertical="center"/>
    </xf>
    <xf numFmtId="43" fontId="31" fillId="0" borderId="48" xfId="0" applyNumberFormat="1" applyFont="1" applyBorder="1" applyAlignment="1">
      <alignment vertical="center"/>
    </xf>
    <xf numFmtId="0" fontId="30" fillId="0" borderId="0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28" fillId="0" borderId="0" xfId="0" applyFont="1" applyBorder="1"/>
    <xf numFmtId="0" fontId="30" fillId="0" borderId="59" xfId="0" applyFont="1" applyBorder="1"/>
    <xf numFmtId="0" fontId="30" fillId="0" borderId="57" xfId="0" applyFont="1" applyBorder="1"/>
    <xf numFmtId="0" fontId="30" fillId="0" borderId="58" xfId="0" applyFont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43" fontId="38" fillId="0" borderId="0" xfId="0" applyNumberFormat="1" applyFont="1" applyFill="1"/>
    <xf numFmtId="43" fontId="0" fillId="0" borderId="0" xfId="0" applyNumberFormat="1" applyFill="1"/>
    <xf numFmtId="0" fontId="42" fillId="0" borderId="0" xfId="0" applyFont="1" applyFill="1" applyBorder="1"/>
    <xf numFmtId="0" fontId="42" fillId="0" borderId="0" xfId="0" applyFont="1" applyFill="1"/>
    <xf numFmtId="0" fontId="43" fillId="0" borderId="0" xfId="0" applyFont="1" applyFill="1"/>
    <xf numFmtId="0" fontId="28" fillId="4" borderId="73" xfId="0" applyFont="1" applyFill="1" applyBorder="1" applyAlignment="1">
      <alignment horizontal="left" vertical="center" indent="1"/>
    </xf>
    <xf numFmtId="0" fontId="28" fillId="4" borderId="74" xfId="0" applyFont="1" applyFill="1" applyBorder="1" applyAlignment="1">
      <alignment horizontal="left" vertical="center"/>
    </xf>
    <xf numFmtId="0" fontId="28" fillId="4" borderId="74" xfId="0" applyFont="1" applyFill="1" applyBorder="1" applyAlignment="1">
      <alignment horizontal="left" vertical="center"/>
    </xf>
    <xf numFmtId="0" fontId="30" fillId="4" borderId="74" xfId="0" applyFont="1" applyFill="1" applyBorder="1"/>
    <xf numFmtId="0" fontId="28" fillId="4" borderId="74" xfId="0" applyFont="1" applyFill="1" applyBorder="1" applyAlignment="1">
      <alignment horizontal="left" vertical="center" indent="1"/>
    </xf>
    <xf numFmtId="0" fontId="28" fillId="4" borderId="74" xfId="0" applyFont="1" applyFill="1" applyBorder="1" applyAlignment="1">
      <alignment horizontal="right" vertical="center"/>
    </xf>
    <xf numFmtId="0" fontId="28" fillId="4" borderId="75" xfId="0" applyFont="1" applyFill="1" applyBorder="1" applyAlignment="1">
      <alignment horizontal="left" vertical="center" indent="1"/>
    </xf>
    <xf numFmtId="0" fontId="28" fillId="3" borderId="76" xfId="0" applyFont="1" applyFill="1" applyBorder="1" applyAlignment="1">
      <alignment vertical="center"/>
    </xf>
    <xf numFmtId="0" fontId="28" fillId="3" borderId="76" xfId="0" applyFont="1" applyFill="1" applyBorder="1" applyAlignment="1">
      <alignment horizontal="left" vertical="center"/>
    </xf>
    <xf numFmtId="0" fontId="28" fillId="3" borderId="77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9" fillId="4" borderId="74" xfId="0" applyFont="1" applyFill="1" applyBorder="1"/>
    <xf numFmtId="0" fontId="43" fillId="0" borderId="0" xfId="0" applyFont="1"/>
    <xf numFmtId="43" fontId="43" fillId="0" borderId="0" xfId="0" applyNumberFormat="1" applyFont="1"/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#REF!" noThreeD="1" sel="0" val="0"/>
</file>

<file path=xl/ctrlProps/ctrlProp2.xml><?xml version="1.0" encoding="utf-8"?>
<formControlPr xmlns="http://schemas.microsoft.com/office/spreadsheetml/2009/9/main" objectType="Drop" dropStyle="combo" dx="25" fmlaLink="$D$7" fmlaRange="#REF!" noThreeD="1" sel="0" val="0"/>
</file>

<file path=xl/ctrlProps/ctrlProp3.xml><?xml version="1.0" encoding="utf-8"?>
<formControlPr xmlns="http://schemas.microsoft.com/office/spreadsheetml/2009/9/main" objectType="Drop" dropStyle="combo" dx="25" fmlaLink="$C$8" fmlaRange="#REF!" noThreeD="1" sel="0" val="0"/>
</file>

<file path=xl/ctrlProps/ctrlProp4.xml><?xml version="1.0" encoding="utf-8"?>
<formControlPr xmlns="http://schemas.microsoft.com/office/spreadsheetml/2009/9/main" objectType="Drop" dropStyle="combo" dx="25" fmlaLink="$C$9" fmlaRange="#REF!" noThreeD="1" sel="0" val="0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7" name="Rectangle 16"/>
        <xdr:cNvSpPr/>
      </xdr:nvSpPr>
      <xdr:spPr>
        <a:xfrm>
          <a:off x="8286750" y="22288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8" name="Rectangle 17"/>
        <xdr:cNvSpPr/>
      </xdr:nvSpPr>
      <xdr:spPr>
        <a:xfrm>
          <a:off x="828675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19" name="Rectangle 18"/>
        <xdr:cNvSpPr/>
      </xdr:nvSpPr>
      <xdr:spPr>
        <a:xfrm>
          <a:off x="847090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0" name="Rectangle 19"/>
        <xdr:cNvSpPr/>
      </xdr:nvSpPr>
      <xdr:spPr>
        <a:xfrm>
          <a:off x="8470900" y="22288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6350</xdr:rowOff>
        </xdr:from>
        <xdr:to>
          <xdr:col>45</xdr:col>
          <xdr:colOff>0</xdr:colOff>
          <xdr:row>7</xdr:row>
          <xdr:rowOff>6350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6350</xdr:rowOff>
        </xdr:from>
        <xdr:to>
          <xdr:col>45</xdr:col>
          <xdr:colOff>0</xdr:colOff>
          <xdr:row>8</xdr:row>
          <xdr:rowOff>6350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6350</xdr:rowOff>
        </xdr:from>
        <xdr:to>
          <xdr:col>45</xdr:col>
          <xdr:colOff>0</xdr:colOff>
          <xdr:row>9</xdr:row>
          <xdr:rowOff>6350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17782</xdr:rowOff>
    </xdr:to>
    <xdr:sp macro="[1]!closepopup" textlink="">
      <xdr:nvSpPr>
        <xdr:cNvPr id="33" name="close9" hidden="1"/>
        <xdr:cNvSpPr/>
      </xdr:nvSpPr>
      <xdr:spPr>
        <a:xfrm rot="2700000">
          <a:off x="3051173" y="373062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34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35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18</xdr:row>
      <xdr:rowOff>68580</xdr:rowOff>
    </xdr:to>
    <xdr:sp macro="[1]!closepopup" textlink="">
      <xdr:nvSpPr>
        <xdr:cNvPr id="36" name="close11" hidden="1"/>
        <xdr:cNvSpPr/>
      </xdr:nvSpPr>
      <xdr:spPr>
        <a:xfrm rot="2700000">
          <a:off x="3562350" y="391795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37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0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1]!closepopup" textlink="">
      <xdr:nvSpPr>
        <xdr:cNvPr id="41" name="close9" hidden="1"/>
        <xdr:cNvSpPr/>
      </xdr:nvSpPr>
      <xdr:spPr>
        <a:xfrm rot="2700000">
          <a:off x="2892423" y="27781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2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1]!closepopup" textlink="">
      <xdr:nvSpPr>
        <xdr:cNvPr id="46" name="close9" hidden="1"/>
        <xdr:cNvSpPr/>
      </xdr:nvSpPr>
      <xdr:spPr>
        <a:xfrm rot="2700000">
          <a:off x="2813048" y="2857502"/>
          <a:ext cx="5003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5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21</xdr:row>
      <xdr:rowOff>0</xdr:rowOff>
    </xdr:from>
    <xdr:to>
      <xdr:col>45</xdr:col>
      <xdr:colOff>182880</xdr:colOff>
      <xdr:row>21</xdr:row>
      <xdr:rowOff>152400</xdr:rowOff>
    </xdr:to>
    <xdr:sp macro="[0]!AddLineItem" textlink="">
      <xdr:nvSpPr>
        <xdr:cNvPr id="52" name="Rectangle 51"/>
        <xdr:cNvSpPr/>
      </xdr:nvSpPr>
      <xdr:spPr>
        <a:xfrm>
          <a:off x="8286750" y="25463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21</xdr:row>
      <xdr:rowOff>0</xdr:rowOff>
    </xdr:from>
    <xdr:to>
      <xdr:col>46</xdr:col>
      <xdr:colOff>182880</xdr:colOff>
      <xdr:row>21</xdr:row>
      <xdr:rowOff>152400</xdr:rowOff>
    </xdr:to>
    <xdr:sp macro="[0]!AddLineItem" textlink="">
      <xdr:nvSpPr>
        <xdr:cNvPr id="53" name="Rectangle 52"/>
        <xdr:cNvSpPr/>
      </xdr:nvSpPr>
      <xdr:spPr>
        <a:xfrm>
          <a:off x="8470900" y="25463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1]!closepopup" textlink="">
      <xdr:nvSpPr>
        <xdr:cNvPr id="54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55" name="close11" hidden="1"/>
        <xdr:cNvSpPr/>
      </xdr:nvSpPr>
      <xdr:spPr>
        <a:xfrm rot="2700000">
          <a:off x="3721100" y="3124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56" name="close11" hidden="1"/>
        <xdr:cNvSpPr/>
      </xdr:nvSpPr>
      <xdr:spPr>
        <a:xfrm rot="2700000">
          <a:off x="3562350" y="328295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57" name="close11" hidden="1"/>
        <xdr:cNvSpPr/>
      </xdr:nvSpPr>
      <xdr:spPr>
        <a:xfrm rot="2700000">
          <a:off x="3721100" y="3124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1]!closepopup" textlink="">
      <xdr:nvSpPr>
        <xdr:cNvPr id="58" name="close11" hidden="1"/>
        <xdr:cNvSpPr/>
      </xdr:nvSpPr>
      <xdr:spPr>
        <a:xfrm rot="2700000">
          <a:off x="3688715" y="3023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61" name="close11" hidden="1"/>
        <xdr:cNvSpPr/>
      </xdr:nvSpPr>
      <xdr:spPr>
        <a:xfrm rot="2700000">
          <a:off x="3688715" y="397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62" name="close11" hidden="1"/>
        <xdr:cNvSpPr/>
      </xdr:nvSpPr>
      <xdr:spPr>
        <a:xfrm rot="2700000">
          <a:off x="3688715" y="397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65" name="close11" hidden="1"/>
        <xdr:cNvSpPr/>
      </xdr:nvSpPr>
      <xdr:spPr>
        <a:xfrm rot="2700000">
          <a:off x="3688715" y="397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66" name="close11" hidden="1"/>
        <xdr:cNvSpPr/>
      </xdr:nvSpPr>
      <xdr:spPr>
        <a:xfrm rot="2700000">
          <a:off x="3688715" y="397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45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47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16</xdr:row>
      <xdr:rowOff>0</xdr:rowOff>
    </xdr:to>
    <xdr:sp macro="[1]!closepopup" textlink="">
      <xdr:nvSpPr>
        <xdr:cNvPr id="264" name="close9" hidden="1"/>
        <xdr:cNvSpPr/>
      </xdr:nvSpPr>
      <xdr:spPr>
        <a:xfrm rot="2700000">
          <a:off x="2971798" y="28575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265" name="close11" hidden="1"/>
        <xdr:cNvSpPr/>
      </xdr:nvSpPr>
      <xdr:spPr>
        <a:xfrm rot="2700000">
          <a:off x="36887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266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267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268" name="Rectangle 267"/>
        <xdr:cNvSpPr/>
      </xdr:nvSpPr>
      <xdr:spPr>
        <a:xfrm>
          <a:off x="828675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269" name="Rectangle 268"/>
        <xdr:cNvSpPr/>
      </xdr:nvSpPr>
      <xdr:spPr>
        <a:xfrm>
          <a:off x="847090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270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27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272" name="close11" hidden="1"/>
        <xdr:cNvSpPr/>
      </xdr:nvSpPr>
      <xdr:spPr>
        <a:xfrm rot="2700000">
          <a:off x="37553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1]!closepopup" textlink="">
      <xdr:nvSpPr>
        <xdr:cNvPr id="461" name="close9" hidden="1"/>
        <xdr:cNvSpPr/>
      </xdr:nvSpPr>
      <xdr:spPr>
        <a:xfrm rot="2700000">
          <a:off x="2238372" y="2860676"/>
          <a:ext cx="176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62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63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66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67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68" name="close11" hidden="1"/>
        <xdr:cNvSpPr/>
      </xdr:nvSpPr>
      <xdr:spPr>
        <a:xfrm rot="2700000">
          <a:off x="30187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152402</xdr:rowOff>
    </xdr:from>
    <xdr:to>
      <xdr:col>17</xdr:col>
      <xdr:colOff>24128</xdr:colOff>
      <xdr:row>16</xdr:row>
      <xdr:rowOff>0</xdr:rowOff>
    </xdr:to>
    <xdr:sp macro="[1]!closepopup" textlink="">
      <xdr:nvSpPr>
        <xdr:cNvPr id="469" name="close9" hidden="1"/>
        <xdr:cNvSpPr/>
      </xdr:nvSpPr>
      <xdr:spPr>
        <a:xfrm rot="2700000">
          <a:off x="2244089" y="253111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470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73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74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75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76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1]!closepopup" textlink="">
      <xdr:nvSpPr>
        <xdr:cNvPr id="477" name="close9" hidden="1"/>
        <xdr:cNvSpPr/>
      </xdr:nvSpPr>
      <xdr:spPr>
        <a:xfrm rot="2700000">
          <a:off x="2244089" y="268986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78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81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1]!closepopup" textlink="">
      <xdr:nvSpPr>
        <xdr:cNvPr id="482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17782</xdr:rowOff>
    </xdr:to>
    <xdr:sp macro="[1]!closepopup" textlink="">
      <xdr:nvSpPr>
        <xdr:cNvPr id="483" name="close9" hidden="1"/>
        <xdr:cNvSpPr/>
      </xdr:nvSpPr>
      <xdr:spPr>
        <a:xfrm rot="2700000">
          <a:off x="2317747" y="2781301"/>
          <a:ext cx="17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84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1]!closepopup" textlink="">
      <xdr:nvSpPr>
        <xdr:cNvPr id="485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1]!closepopup" textlink="">
      <xdr:nvSpPr>
        <xdr:cNvPr id="486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8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8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8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1]!closepopup" textlink="">
      <xdr:nvSpPr>
        <xdr:cNvPr id="490" name="close9" hidden="1"/>
        <xdr:cNvSpPr/>
      </xdr:nvSpPr>
      <xdr:spPr>
        <a:xfrm rot="2700000">
          <a:off x="2164714" y="261048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9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9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493" name="Rectangle 492"/>
        <xdr:cNvSpPr/>
      </xdr:nvSpPr>
      <xdr:spPr>
        <a:xfrm>
          <a:off x="755015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494" name="Rectangle 493"/>
        <xdr:cNvSpPr/>
      </xdr:nvSpPr>
      <xdr:spPr>
        <a:xfrm>
          <a:off x="773430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49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496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9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1]!closepopup" textlink="">
      <xdr:nvSpPr>
        <xdr:cNvPr id="498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49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0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1]!closepopup" textlink="">
      <xdr:nvSpPr>
        <xdr:cNvPr id="504" name="close9" hidden="1"/>
        <xdr:cNvSpPr/>
      </xdr:nvSpPr>
      <xdr:spPr>
        <a:xfrm rot="2700000">
          <a:off x="2323464" y="276923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50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6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0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1]!closepopup" textlink="">
      <xdr:nvSpPr>
        <xdr:cNvPr id="510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1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1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51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a1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3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M28" sqref="M28"/>
    </sheetView>
  </sheetViews>
  <sheetFormatPr defaultRowHeight="12.5" customHeight="1" x14ac:dyDescent="0.35"/>
  <cols>
    <col min="1" max="1" width="1.36328125" style="202" customWidth="1"/>
    <col min="2" max="4" width="1.81640625" style="202" customWidth="1"/>
    <col min="5" max="5" width="1.81640625" style="202" bestFit="1" customWidth="1"/>
    <col min="6" max="6" width="1.81640625" style="202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02" t="s">
        <v>943</v>
      </c>
      <c r="G1" s="241" t="s">
        <v>944</v>
      </c>
      <c r="H1" s="241"/>
      <c r="I1" s="241"/>
      <c r="J1" s="243" t="s">
        <v>246</v>
      </c>
      <c r="K1" s="243"/>
      <c r="L1" s="243"/>
      <c r="M1" s="243"/>
      <c r="N1" s="243"/>
      <c r="O1" s="243"/>
      <c r="P1" s="243"/>
      <c r="Q1" s="243"/>
      <c r="R1" s="171"/>
      <c r="S1" s="171"/>
      <c r="T1" s="170" t="s">
        <v>945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42" t="s">
        <v>922</v>
      </c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161"/>
      <c r="U2" s="242" t="s">
        <v>923</v>
      </c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161"/>
      <c r="AH2" s="242" t="s">
        <v>941</v>
      </c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</row>
    <row r="3" spans="1:52" ht="12.75" customHeight="1" x14ac:dyDescent="0.35">
      <c r="G3" s="169"/>
      <c r="H3" s="240"/>
      <c r="I3" s="240"/>
      <c r="J3" s="240"/>
      <c r="K3" s="168"/>
      <c r="L3" s="239"/>
      <c r="M3" s="239"/>
      <c r="N3" s="239"/>
      <c r="O3" s="239"/>
      <c r="P3" s="239"/>
      <c r="Q3" s="239"/>
      <c r="R3" s="239"/>
      <c r="S3" s="239"/>
      <c r="T3" s="169"/>
      <c r="U3" s="240"/>
      <c r="V3" s="240"/>
      <c r="W3" s="240"/>
      <c r="X3" s="176"/>
      <c r="Y3" s="239"/>
      <c r="Z3" s="239"/>
      <c r="AA3" s="239"/>
      <c r="AB3" s="239"/>
      <c r="AC3" s="239"/>
      <c r="AD3" s="239"/>
      <c r="AE3" s="239"/>
      <c r="AF3" s="239"/>
      <c r="AG3" s="169"/>
      <c r="AH3" s="240"/>
      <c r="AI3" s="240"/>
      <c r="AJ3" s="240"/>
      <c r="AK3" s="176"/>
      <c r="AL3" s="239"/>
      <c r="AM3" s="239"/>
      <c r="AN3" s="239"/>
      <c r="AO3" s="239"/>
      <c r="AP3" s="239"/>
      <c r="AQ3" s="239"/>
      <c r="AR3" s="239"/>
      <c r="AS3" s="239"/>
      <c r="AT3" s="162"/>
    </row>
    <row r="4" spans="1:52" ht="12.75" customHeight="1" x14ac:dyDescent="0.35">
      <c r="G4" s="169"/>
      <c r="H4" s="240"/>
      <c r="I4" s="240"/>
      <c r="J4" s="240"/>
      <c r="K4" s="168"/>
      <c r="L4" s="239"/>
      <c r="M4" s="239"/>
      <c r="N4" s="239"/>
      <c r="O4" s="239"/>
      <c r="P4" s="239"/>
      <c r="Q4" s="239"/>
      <c r="R4" s="239"/>
      <c r="S4" s="239"/>
      <c r="T4" s="169"/>
      <c r="U4" s="240"/>
      <c r="V4" s="240"/>
      <c r="W4" s="240"/>
      <c r="X4" s="176"/>
      <c r="Y4" s="239"/>
      <c r="Z4" s="239"/>
      <c r="AA4" s="239"/>
      <c r="AB4" s="239"/>
      <c r="AC4" s="239"/>
      <c r="AD4" s="239"/>
      <c r="AE4" s="239"/>
      <c r="AF4" s="239"/>
      <c r="AG4" s="169"/>
      <c r="AH4" s="240"/>
      <c r="AI4" s="240"/>
      <c r="AJ4" s="240"/>
      <c r="AK4" s="176"/>
      <c r="AL4" s="239"/>
      <c r="AM4" s="239"/>
      <c r="AN4" s="239"/>
      <c r="AO4" s="239"/>
      <c r="AP4" s="239"/>
      <c r="AQ4" s="239"/>
      <c r="AR4" s="239"/>
      <c r="AS4" s="239"/>
      <c r="AT4" s="162"/>
    </row>
    <row r="5" spans="1:52" ht="12.75" customHeight="1" thickBot="1" x14ac:dyDescent="0.4">
      <c r="D5" s="203">
        <f>L5+Y5+AL5</f>
        <v>0</v>
      </c>
      <c r="G5" s="169"/>
      <c r="H5" s="233" t="s">
        <v>942</v>
      </c>
      <c r="I5" s="233"/>
      <c r="J5" s="233"/>
      <c r="K5" s="233"/>
      <c r="L5" s="238">
        <f>SUM(L3:S4)</f>
        <v>0</v>
      </c>
      <c r="M5" s="238"/>
      <c r="N5" s="238"/>
      <c r="O5" s="238"/>
      <c r="P5" s="238"/>
      <c r="Q5" s="238"/>
      <c r="R5" s="238"/>
      <c r="S5" s="238"/>
      <c r="T5" s="169"/>
      <c r="U5" s="233" t="s">
        <v>942</v>
      </c>
      <c r="V5" s="233"/>
      <c r="W5" s="233"/>
      <c r="X5" s="233"/>
      <c r="Y5" s="238">
        <f>SUM(Y3:AF4)</f>
        <v>0</v>
      </c>
      <c r="Z5" s="238"/>
      <c r="AA5" s="238"/>
      <c r="AB5" s="238"/>
      <c r="AC5" s="238"/>
      <c r="AD5" s="238"/>
      <c r="AE5" s="238"/>
      <c r="AF5" s="238"/>
      <c r="AG5" s="169"/>
      <c r="AH5" s="233" t="s">
        <v>942</v>
      </c>
      <c r="AI5" s="233"/>
      <c r="AJ5" s="233"/>
      <c r="AK5" s="233"/>
      <c r="AL5" s="238">
        <f>SUM(AL3:AS4)</f>
        <v>0</v>
      </c>
      <c r="AM5" s="238"/>
      <c r="AN5" s="238"/>
      <c r="AO5" s="238"/>
      <c r="AP5" s="238"/>
      <c r="AQ5" s="238"/>
      <c r="AR5" s="238"/>
      <c r="AS5" s="238"/>
    </row>
    <row r="6" spans="1:52" ht="12.75" customHeight="1" thickTop="1" x14ac:dyDescent="0.35">
      <c r="G6" s="169"/>
      <c r="H6" s="235"/>
      <c r="I6" s="235"/>
      <c r="J6" s="235"/>
      <c r="K6" s="235"/>
      <c r="L6" s="236"/>
      <c r="M6" s="236"/>
      <c r="N6" s="236"/>
      <c r="O6" s="236"/>
      <c r="P6" s="236"/>
      <c r="Q6" s="236"/>
      <c r="R6" s="236"/>
      <c r="S6" s="236"/>
      <c r="T6" s="169"/>
      <c r="U6" s="237"/>
      <c r="V6" s="237"/>
      <c r="W6" s="237"/>
      <c r="X6" s="237"/>
      <c r="Y6" s="236"/>
      <c r="Z6" s="236"/>
      <c r="AA6" s="236"/>
      <c r="AB6" s="236"/>
      <c r="AC6" s="236"/>
      <c r="AD6" s="236"/>
      <c r="AE6" s="236"/>
      <c r="AF6" s="236"/>
      <c r="AG6" s="169"/>
      <c r="AH6" s="237"/>
      <c r="AI6" s="237"/>
      <c r="AJ6" s="237"/>
      <c r="AK6" s="237"/>
      <c r="AL6" s="236"/>
      <c r="AM6" s="236"/>
      <c r="AN6" s="236"/>
      <c r="AO6" s="236"/>
      <c r="AP6" s="236"/>
      <c r="AQ6" s="236"/>
      <c r="AR6" s="236"/>
      <c r="AS6" s="236"/>
    </row>
    <row r="7" spans="1:52" ht="11" customHeight="1" x14ac:dyDescent="0.35"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3"/>
      <c r="T7" s="233"/>
      <c r="U7" s="233"/>
      <c r="V7" s="233"/>
      <c r="W7" s="233"/>
      <c r="X7" s="233"/>
      <c r="Y7" s="233"/>
      <c r="Z7" s="233"/>
      <c r="AA7" s="233"/>
      <c r="AB7" s="233"/>
      <c r="AC7" s="233"/>
      <c r="AD7" s="233"/>
      <c r="AE7" s="233"/>
      <c r="AF7" s="233"/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</row>
    <row r="8" spans="1:52" ht="11" customHeight="1" x14ac:dyDescent="0.35"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34"/>
      <c r="AE8" s="234"/>
      <c r="AF8" s="234"/>
      <c r="AG8" s="234"/>
      <c r="AH8" s="234"/>
      <c r="AI8" s="234"/>
      <c r="AJ8" s="234"/>
      <c r="AK8" s="234"/>
      <c r="AL8" s="234"/>
      <c r="AM8" s="234"/>
      <c r="AN8" s="234"/>
      <c r="AO8" s="234"/>
      <c r="AP8" s="234"/>
      <c r="AQ8" s="234"/>
      <c r="AR8" s="234"/>
      <c r="AS8" s="234"/>
    </row>
    <row r="10" spans="1:52" ht="12.5" customHeight="1" x14ac:dyDescent="0.35">
      <c r="AT10"/>
      <c r="AU10"/>
      <c r="AV10"/>
    </row>
    <row r="11" spans="1:52" ht="12.5" customHeight="1" x14ac:dyDescent="0.45">
      <c r="A11" s="204"/>
      <c r="B11" s="296" t="s">
        <v>1035</v>
      </c>
      <c r="C11" s="296"/>
      <c r="D11" s="309"/>
      <c r="E11" s="204">
        <f>COUNTA(H12:H18)</f>
        <v>0</v>
      </c>
      <c r="F11" s="204"/>
      <c r="G11" s="307" t="s">
        <v>944</v>
      </c>
      <c r="H11" s="299"/>
      <c r="I11" s="299"/>
      <c r="J11" s="299" t="s">
        <v>246</v>
      </c>
      <c r="K11" s="299"/>
      <c r="L11" s="299"/>
      <c r="M11" s="299"/>
      <c r="N11" s="299"/>
      <c r="O11" s="299"/>
      <c r="P11" s="299"/>
      <c r="Q11" s="299"/>
      <c r="R11" s="308"/>
      <c r="S11" s="308"/>
      <c r="T11" s="301"/>
      <c r="U11" s="301"/>
      <c r="V11" s="301"/>
      <c r="W11" s="298"/>
      <c r="X11" s="308"/>
      <c r="Y11" s="308"/>
      <c r="Z11" s="308"/>
      <c r="AA11" s="308"/>
      <c r="AB11" s="308"/>
      <c r="AC11" s="308"/>
      <c r="AD11" s="308"/>
      <c r="AE11" s="308"/>
      <c r="AF11" s="301"/>
      <c r="AG11" s="298"/>
      <c r="AH11" s="301"/>
      <c r="AI11" s="302"/>
      <c r="AJ11" s="301"/>
      <c r="AK11" s="298"/>
      <c r="AL11" s="298"/>
      <c r="AM11" s="301"/>
      <c r="AN11" s="301"/>
      <c r="AO11" s="301"/>
      <c r="AP11" s="301"/>
      <c r="AQ11" s="301"/>
      <c r="AR11" s="301"/>
      <c r="AS11" s="303"/>
      <c r="AT11"/>
      <c r="AU11"/>
      <c r="AV11"/>
      <c r="AW11" s="181"/>
      <c r="AX11" s="181"/>
      <c r="AY11" s="181"/>
      <c r="AZ11" s="181"/>
    </row>
    <row r="12" spans="1:52" ht="12.5" customHeight="1" x14ac:dyDescent="0.45">
      <c r="A12" s="204"/>
      <c r="B12" s="296">
        <f>COUNTIF(C12:C18,"CATEGORY_START")</f>
        <v>1</v>
      </c>
      <c r="C12" s="296" t="s">
        <v>1037</v>
      </c>
      <c r="D12" s="309"/>
      <c r="E12" s="204"/>
      <c r="G12" s="19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5" customHeight="1" x14ac:dyDescent="0.45">
      <c r="A13" s="204"/>
      <c r="B13" s="296"/>
      <c r="C13" s="296"/>
      <c r="D13" s="309"/>
      <c r="E13" s="204"/>
      <c r="F13" s="204"/>
      <c r="G13" s="180"/>
      <c r="H13" s="193"/>
      <c r="I13" s="244" t="s">
        <v>0</v>
      </c>
      <c r="J13" s="244"/>
      <c r="K13" s="244"/>
      <c r="L13" s="244"/>
      <c r="M13" s="244"/>
      <c r="N13" s="244"/>
      <c r="O13" s="244" t="s">
        <v>951</v>
      </c>
      <c r="P13" s="244"/>
      <c r="Q13" s="244"/>
      <c r="R13" s="244" t="s">
        <v>952</v>
      </c>
      <c r="S13" s="244"/>
      <c r="T13" s="244"/>
      <c r="U13" s="244"/>
      <c r="V13" s="244"/>
      <c r="W13" s="244"/>
      <c r="X13" s="244"/>
      <c r="Y13" s="244" t="s">
        <v>953</v>
      </c>
      <c r="Z13" s="244"/>
      <c r="AA13" s="244"/>
      <c r="AB13" s="244"/>
      <c r="AC13" s="244"/>
      <c r="AD13" s="244" t="s">
        <v>942</v>
      </c>
      <c r="AE13" s="244"/>
      <c r="AF13" s="244"/>
      <c r="AG13" s="244"/>
      <c r="AH13" s="244"/>
      <c r="AI13" s="244"/>
      <c r="AJ13" s="244"/>
      <c r="AK13" s="244" t="s">
        <v>954</v>
      </c>
      <c r="AL13" s="244"/>
      <c r="AM13" s="244"/>
      <c r="AN13" s="244"/>
      <c r="AO13" s="244"/>
      <c r="AP13" s="246" t="s">
        <v>468</v>
      </c>
      <c r="AQ13" s="246"/>
      <c r="AR13" s="246"/>
      <c r="AS13" s="247"/>
      <c r="AT13"/>
      <c r="AU13"/>
      <c r="AV13"/>
      <c r="AW13" s="181"/>
      <c r="AX13" s="181"/>
      <c r="AY13" s="181"/>
      <c r="AZ13" s="181"/>
    </row>
    <row r="14" spans="1:52" ht="12.5" customHeight="1" x14ac:dyDescent="0.45">
      <c r="A14" s="204"/>
      <c r="B14" s="296"/>
      <c r="C14" s="296">
        <f>COUNTA(I14:N16)</f>
        <v>2</v>
      </c>
      <c r="D14" s="309"/>
      <c r="E14" s="204"/>
      <c r="F14" s="204">
        <f>COUNTA(I14:N16)</f>
        <v>2</v>
      </c>
      <c r="G14" s="183"/>
      <c r="H14" s="183"/>
      <c r="I14" s="227" t="s">
        <v>93</v>
      </c>
      <c r="J14" s="227"/>
      <c r="K14" s="227"/>
      <c r="L14" s="227"/>
      <c r="M14" s="227"/>
      <c r="N14" s="228"/>
      <c r="O14" s="229"/>
      <c r="P14" s="230"/>
      <c r="Q14" s="231"/>
      <c r="R14" s="232">
        <v>10</v>
      </c>
      <c r="S14" s="232"/>
      <c r="T14" s="232"/>
      <c r="U14" s="232"/>
      <c r="V14" s="232"/>
      <c r="W14" s="232"/>
      <c r="X14" s="232"/>
      <c r="Y14" s="225" t="s">
        <v>54</v>
      </c>
      <c r="Z14" s="225"/>
      <c r="AA14" s="225"/>
      <c r="AB14" s="225"/>
      <c r="AC14" s="225"/>
      <c r="AD14" s="232">
        <v>10</v>
      </c>
      <c r="AE14" s="232"/>
      <c r="AF14" s="232"/>
      <c r="AG14" s="232"/>
      <c r="AH14" s="232"/>
      <c r="AI14" s="232"/>
      <c r="AJ14" s="232"/>
      <c r="AK14" s="225" t="s">
        <v>54</v>
      </c>
      <c r="AL14" s="225"/>
      <c r="AM14" s="225"/>
      <c r="AN14" s="225"/>
      <c r="AO14" s="225"/>
      <c r="AP14" s="225"/>
      <c r="AQ14" s="225"/>
      <c r="AR14" s="225"/>
      <c r="AS14" s="226"/>
      <c r="AT14"/>
      <c r="AU14"/>
      <c r="AV14"/>
      <c r="AW14" s="181"/>
      <c r="AX14" s="181"/>
      <c r="AY14" s="181"/>
      <c r="AZ14" s="181"/>
    </row>
    <row r="15" spans="1:52" s="164" customFormat="1" ht="12.5" customHeight="1" x14ac:dyDescent="0.45">
      <c r="A15" s="204"/>
      <c r="B15" s="296"/>
      <c r="C15" s="296">
        <f>COUNTA(I15:N17)</f>
        <v>1</v>
      </c>
      <c r="D15" s="309"/>
      <c r="E15" s="204"/>
      <c r="F15" s="204">
        <f>COUNTA(I15:N17)</f>
        <v>1</v>
      </c>
      <c r="G15" s="183"/>
      <c r="H15" s="183"/>
      <c r="I15" s="227" t="s">
        <v>93</v>
      </c>
      <c r="J15" s="227"/>
      <c r="K15" s="227"/>
      <c r="L15" s="227"/>
      <c r="M15" s="227"/>
      <c r="N15" s="228"/>
      <c r="O15" s="229"/>
      <c r="P15" s="230"/>
      <c r="Q15" s="231"/>
      <c r="R15" s="232">
        <v>10</v>
      </c>
      <c r="S15" s="232"/>
      <c r="T15" s="232"/>
      <c r="U15" s="232"/>
      <c r="V15" s="232"/>
      <c r="W15" s="232"/>
      <c r="X15" s="232"/>
      <c r="Y15" s="225" t="s">
        <v>54</v>
      </c>
      <c r="Z15" s="225"/>
      <c r="AA15" s="225"/>
      <c r="AB15" s="225"/>
      <c r="AC15" s="225"/>
      <c r="AD15" s="232">
        <v>10</v>
      </c>
      <c r="AE15" s="232"/>
      <c r="AF15" s="232"/>
      <c r="AG15" s="232"/>
      <c r="AH15" s="232"/>
      <c r="AI15" s="232"/>
      <c r="AJ15" s="232"/>
      <c r="AK15" s="225" t="s">
        <v>54</v>
      </c>
      <c r="AL15" s="225"/>
      <c r="AM15" s="225"/>
      <c r="AN15" s="225"/>
      <c r="AO15" s="225"/>
      <c r="AP15" s="225"/>
      <c r="AQ15" s="225"/>
      <c r="AR15" s="225"/>
      <c r="AS15" s="226"/>
      <c r="AW15" s="181"/>
      <c r="AX15" s="181"/>
      <c r="AY15" s="181"/>
      <c r="AZ15" s="181"/>
    </row>
    <row r="16" spans="1:52" ht="12.5" customHeight="1" thickBot="1" x14ac:dyDescent="0.5">
      <c r="A16" s="204"/>
      <c r="B16" s="296"/>
      <c r="C16" s="296"/>
      <c r="D16" s="310">
        <f>AD16</f>
        <v>20</v>
      </c>
      <c r="E16" s="204"/>
      <c r="F16" s="204"/>
      <c r="G16" s="195"/>
      <c r="H16" s="195"/>
      <c r="I16" s="178"/>
      <c r="J16" s="178"/>
      <c r="K16" s="178"/>
      <c r="L16" s="184"/>
      <c r="M16" s="184"/>
      <c r="N16" s="184"/>
      <c r="O16" s="184"/>
      <c r="P16" s="184"/>
      <c r="Q16" s="184"/>
      <c r="R16" s="252" t="str">
        <f>H12&amp;" Total"</f>
        <v xml:space="preserve"> Total</v>
      </c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48">
        <f>SUM(AD14:AD15)</f>
        <v>20</v>
      </c>
      <c r="AE16" s="249"/>
      <c r="AF16" s="249"/>
      <c r="AG16" s="249"/>
      <c r="AH16" s="249"/>
      <c r="AI16" s="249"/>
      <c r="AJ16" s="249"/>
      <c r="AK16" s="250"/>
      <c r="AL16" s="251"/>
      <c r="AM16" s="251"/>
      <c r="AN16" s="251"/>
      <c r="AO16" s="251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5" customHeight="1" thickTop="1" x14ac:dyDescent="0.45">
      <c r="A17" s="204"/>
      <c r="B17" s="296"/>
      <c r="C17" s="296" t="s">
        <v>1038</v>
      </c>
      <c r="D17" s="309"/>
      <c r="E17" s="204"/>
      <c r="F17" s="204"/>
      <c r="G17" s="195"/>
      <c r="H17" s="195"/>
      <c r="I17" s="195"/>
      <c r="J17" s="195"/>
      <c r="K17" s="195"/>
      <c r="L17" s="196"/>
      <c r="M17" s="196"/>
      <c r="N17" s="196"/>
      <c r="O17" s="196"/>
      <c r="P17" s="196"/>
      <c r="Q17" s="196"/>
      <c r="R17" s="196"/>
      <c r="S17" s="196"/>
      <c r="T17" s="195"/>
      <c r="U17" s="195"/>
      <c r="V17" s="195"/>
      <c r="W17" s="195"/>
      <c r="X17" s="195"/>
      <c r="Y17" s="197"/>
      <c r="Z17" s="197"/>
      <c r="AA17" s="197"/>
      <c r="AB17" s="197"/>
      <c r="AC17" s="197"/>
      <c r="AD17" s="198"/>
      <c r="AE17" s="198"/>
      <c r="AF17" s="198"/>
      <c r="AG17" s="198"/>
      <c r="AH17" s="198"/>
      <c r="AI17" s="198"/>
      <c r="AJ17" s="198"/>
      <c r="AK17" s="196"/>
      <c r="AL17" s="196"/>
      <c r="AM17" s="196"/>
      <c r="AN17" s="196"/>
      <c r="AO17" s="196"/>
      <c r="AP17" s="179"/>
      <c r="AQ17" s="179"/>
      <c r="AR17" s="179"/>
      <c r="AS17" s="179"/>
      <c r="AT17" s="199"/>
      <c r="AU17" s="189"/>
      <c r="AV17" s="181"/>
      <c r="AW17" s="181"/>
      <c r="AX17" s="181"/>
      <c r="AY17" s="181"/>
      <c r="AZ17" s="181"/>
    </row>
    <row r="18" spans="1:52" ht="12.5" customHeight="1" x14ac:dyDescent="0.4">
      <c r="B18" s="295" t="s">
        <v>1036</v>
      </c>
      <c r="C18" s="295"/>
      <c r="D18" s="309"/>
      <c r="E18" s="204"/>
    </row>
  </sheetData>
  <mergeCells count="58">
    <mergeCell ref="AD16:AJ16"/>
    <mergeCell ref="AK16:AO16"/>
    <mergeCell ref="Y13:AC13"/>
    <mergeCell ref="AD13:AJ13"/>
    <mergeCell ref="AK13:AO13"/>
    <mergeCell ref="R16:AC16"/>
    <mergeCell ref="AK15:AO15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G11:I11"/>
    <mergeCell ref="J11:Q11"/>
    <mergeCell ref="I13:N13"/>
    <mergeCell ref="O13:Q13"/>
    <mergeCell ref="R13:X13"/>
    <mergeCell ref="H12:Q12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  <mergeCell ref="AP15:AS15"/>
    <mergeCell ref="I15:N15"/>
    <mergeCell ref="O15:Q15"/>
    <mergeCell ref="R15:X15"/>
    <mergeCell ref="Y15:AC15"/>
    <mergeCell ref="AD15:AJ15"/>
  </mergeCells>
  <dataValidations disablePrompts="1"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 showErrorMessage="1">
          <x14:formula1>
            <xm:f>[1]Sheet2!#REF!</xm:f>
          </x14:formula1>
          <xm:sqref>AK16:AO17</xm:sqref>
        </x14:dataValidation>
        <x14:dataValidation type="list" allowBlank="1" showInputMessage="1" showErrorMessage="1">
          <x14:formula1>
            <xm:f>'South African Currencies'!$A$2:$A$55</xm:f>
          </x14:formula1>
          <xm:sqref>AK14:AO15 Y14:AC15</xm:sqref>
        </x14:dataValidation>
        <x14:dataValidation type="list" allowBlank="1" showInputMessage="1" showError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D9" sqref="D9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</cols>
  <sheetData>
    <row r="1" spans="2:4" ht="15" thickBot="1" x14ac:dyDescent="0.4">
      <c r="B1" s="213" t="s">
        <v>1040</v>
      </c>
      <c r="D1" s="213" t="s">
        <v>1041</v>
      </c>
    </row>
    <row r="2" spans="2:4" x14ac:dyDescent="0.35">
      <c r="B2" s="210" t="s">
        <v>950</v>
      </c>
      <c r="C2" s="207"/>
      <c r="D2" s="210" t="s">
        <v>1044</v>
      </c>
    </row>
    <row r="3" spans="2:4" x14ac:dyDescent="0.35">
      <c r="B3" s="211" t="s">
        <v>1039</v>
      </c>
      <c r="C3" s="207"/>
      <c r="D3" s="211" t="s">
        <v>1043</v>
      </c>
    </row>
    <row r="4" spans="2:4" x14ac:dyDescent="0.35">
      <c r="B4" s="211" t="s">
        <v>92</v>
      </c>
      <c r="C4" s="207"/>
      <c r="D4" s="211" t="s">
        <v>1042</v>
      </c>
    </row>
    <row r="5" spans="2:4" x14ac:dyDescent="0.35">
      <c r="B5" s="211"/>
      <c r="C5" s="207"/>
      <c r="D5" s="211"/>
    </row>
    <row r="6" spans="2:4" x14ac:dyDescent="0.35">
      <c r="B6" s="211"/>
      <c r="C6" s="207"/>
      <c r="D6" s="211"/>
    </row>
    <row r="7" spans="2:4" ht="15" thickBot="1" x14ac:dyDescent="0.4">
      <c r="B7" s="212"/>
      <c r="C7" s="207"/>
      <c r="D7" s="2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8"/>
  <sheetViews>
    <sheetView showGridLines="0" tabSelected="1" topLeftCell="B2" workbookViewId="0">
      <selection activeCell="R45" sqref="R45"/>
    </sheetView>
  </sheetViews>
  <sheetFormatPr defaultRowHeight="14.5" x14ac:dyDescent="0.35"/>
  <cols>
    <col min="1" max="1" width="2.6328125" hidden="1" customWidth="1"/>
    <col min="2" max="3" width="2.6328125" style="290" customWidth="1"/>
    <col min="4" max="6" width="2.6328125" style="290" hidden="1" customWidth="1"/>
    <col min="7" max="52" width="2.6328125" customWidth="1"/>
  </cols>
  <sheetData>
    <row r="1" spans="1:48" ht="12.5" hidden="1" customHeight="1" x14ac:dyDescent="0.35">
      <c r="A1" s="200"/>
      <c r="B1" s="289">
        <f>COUNTIF(B2:B39,"POINT")</f>
        <v>0</v>
      </c>
      <c r="C1" s="289"/>
      <c r="D1" s="289"/>
      <c r="E1" s="289"/>
      <c r="F1" s="289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200"/>
      <c r="B2" s="294">
        <f>COUNTIF(B3:B99998,"POINT_END")</f>
        <v>1</v>
      </c>
      <c r="C2" s="294"/>
      <c r="D2" s="289"/>
      <c r="E2" s="289"/>
      <c r="F2" s="289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175"/>
      <c r="AU2" s="175"/>
    </row>
    <row r="3" spans="1:48" ht="12.5" customHeight="1" x14ac:dyDescent="0.35">
      <c r="B3" s="295"/>
      <c r="C3" s="294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5" customHeight="1" x14ac:dyDescent="0.35">
      <c r="B4" s="295"/>
      <c r="C4" s="294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5" customHeight="1" x14ac:dyDescent="0.35">
      <c r="B5" s="295"/>
      <c r="C5" s="294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</row>
    <row r="6" spans="1:48" ht="12.5" customHeight="1" x14ac:dyDescent="0.35">
      <c r="B6" s="295"/>
      <c r="C6" s="294"/>
      <c r="G6" s="208" t="s">
        <v>56</v>
      </c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</row>
    <row r="7" spans="1:48" ht="12.5" customHeight="1" x14ac:dyDescent="0.35">
      <c r="B7" s="295"/>
      <c r="C7" s="294">
        <v>0</v>
      </c>
      <c r="D7" s="290">
        <v>0</v>
      </c>
      <c r="G7" s="182"/>
      <c r="H7" s="224" t="s">
        <v>924</v>
      </c>
      <c r="I7" s="224"/>
      <c r="J7" s="224"/>
      <c r="K7" s="224"/>
      <c r="L7" s="255"/>
      <c r="M7" s="255"/>
      <c r="N7" s="255"/>
      <c r="O7" s="255"/>
      <c r="P7" s="255"/>
      <c r="Q7" s="255"/>
      <c r="R7" s="255"/>
      <c r="S7" s="255"/>
      <c r="T7" s="224"/>
      <c r="U7" s="224" t="s">
        <v>51</v>
      </c>
      <c r="V7" s="224"/>
      <c r="W7" s="224"/>
      <c r="X7" s="224"/>
      <c r="Y7" s="255" t="str">
        <f>IFERROR(IF(VLOOKUP(C$7,Drivers!$A$5:$B$41,2,0)="","-", VLOOKUP(C$7,Drivers!$A$5:$B$41,2,0)),"-")</f>
        <v>-</v>
      </c>
      <c r="Z7" s="255"/>
      <c r="AA7" s="255"/>
      <c r="AB7" s="255"/>
      <c r="AC7" s="255"/>
      <c r="AD7" s="255"/>
      <c r="AE7" s="255"/>
      <c r="AF7" s="255"/>
      <c r="AG7" s="224"/>
      <c r="AH7" s="224" t="s">
        <v>919</v>
      </c>
      <c r="AI7" s="224"/>
      <c r="AJ7" s="224"/>
      <c r="AK7" s="224"/>
      <c r="AL7" s="254" t="str">
        <f>IFERROR(IF(VLOOKUP($D$7,Horses!$A$6:$C$42,3,0)="","-",VLOOKUP($D$7,Horses!$A$6:$C$42,3,0)),"-")</f>
        <v>-</v>
      </c>
      <c r="AM7" s="254"/>
      <c r="AN7" s="254"/>
      <c r="AO7" s="254"/>
      <c r="AP7" s="254"/>
      <c r="AQ7" s="254"/>
      <c r="AR7" s="254"/>
      <c r="AS7" s="254"/>
    </row>
    <row r="8" spans="1:48" ht="12.5" customHeight="1" x14ac:dyDescent="0.35">
      <c r="B8" s="295"/>
      <c r="C8" s="294">
        <v>0</v>
      </c>
      <c r="G8" s="182"/>
      <c r="H8" s="224" t="s">
        <v>915</v>
      </c>
      <c r="I8" s="224"/>
      <c r="J8" s="224"/>
      <c r="K8" s="224"/>
      <c r="L8" s="256">
        <v>43179</v>
      </c>
      <c r="M8" s="256"/>
      <c r="N8" s="256"/>
      <c r="O8" s="256"/>
      <c r="P8" s="256"/>
      <c r="Q8" s="256"/>
      <c r="R8" s="256"/>
      <c r="S8" s="256"/>
      <c r="T8" s="224"/>
      <c r="U8" s="224" t="s">
        <v>917</v>
      </c>
      <c r="V8" s="224"/>
      <c r="W8" s="224"/>
      <c r="X8" s="224"/>
      <c r="Y8" s="256">
        <v>43192</v>
      </c>
      <c r="Z8" s="256"/>
      <c r="AA8" s="256"/>
      <c r="AB8" s="256"/>
      <c r="AC8" s="256"/>
      <c r="AD8" s="256"/>
      <c r="AE8" s="256"/>
      <c r="AF8" s="256"/>
      <c r="AG8" s="224"/>
      <c r="AH8" s="224" t="s">
        <v>920</v>
      </c>
      <c r="AI8" s="224"/>
      <c r="AJ8" s="224"/>
      <c r="AK8" s="224"/>
      <c r="AL8" s="255" t="str">
        <f>IFERROR(IF(VLOOKUP($C$8,Trailers!$A$7:$C$43,3,0)="","-",VLOOKUP($C$8,Trailers!$A$7:$C$43,3,0)),"-")</f>
        <v>-</v>
      </c>
      <c r="AM8" s="255"/>
      <c r="AN8" s="255"/>
      <c r="AO8" s="255"/>
      <c r="AP8" s="255"/>
      <c r="AQ8" s="255"/>
      <c r="AR8" s="255"/>
      <c r="AS8" s="255"/>
    </row>
    <row r="9" spans="1:48" ht="12.5" customHeight="1" x14ac:dyDescent="0.35">
      <c r="B9" s="295"/>
      <c r="C9" s="294">
        <v>0</v>
      </c>
      <c r="G9" s="182"/>
      <c r="H9" s="224" t="s">
        <v>916</v>
      </c>
      <c r="I9" s="224"/>
      <c r="J9" s="224"/>
      <c r="K9" s="224"/>
      <c r="L9" s="255"/>
      <c r="M9" s="255"/>
      <c r="N9" s="255"/>
      <c r="O9" s="255"/>
      <c r="P9" s="255"/>
      <c r="Q9" s="255"/>
      <c r="R9" s="255"/>
      <c r="S9" s="255"/>
      <c r="T9" s="224"/>
      <c r="U9" s="224" t="s">
        <v>918</v>
      </c>
      <c r="V9" s="224"/>
      <c r="W9" s="224"/>
      <c r="X9" s="224"/>
      <c r="Y9" s="255"/>
      <c r="Z9" s="255"/>
      <c r="AA9" s="255"/>
      <c r="AB9" s="255"/>
      <c r="AC9" s="255"/>
      <c r="AD9" s="255"/>
      <c r="AE9" s="255"/>
      <c r="AF9" s="255"/>
      <c r="AG9" s="224"/>
      <c r="AH9" s="224" t="s">
        <v>921</v>
      </c>
      <c r="AI9" s="224"/>
      <c r="AJ9" s="224"/>
      <c r="AK9" s="224"/>
      <c r="AL9" s="255" t="str">
        <f>IFERROR(IF(VLOOKUP($C$9,Trailers!$A$7:$C$43,3,0)="","-",VLOOKUP($C$9,Trailers!$A$7:$C$43,3,0)),"-")</f>
        <v>-</v>
      </c>
      <c r="AM9" s="255"/>
      <c r="AN9" s="255"/>
      <c r="AO9" s="255"/>
      <c r="AP9" s="255"/>
      <c r="AQ9" s="255"/>
      <c r="AR9" s="255"/>
      <c r="AS9" s="255"/>
    </row>
    <row r="10" spans="1:48" ht="12.5" customHeight="1" x14ac:dyDescent="0.35">
      <c r="A10" s="201"/>
      <c r="B10" s="295"/>
      <c r="C10" s="294"/>
      <c r="D10" s="291"/>
      <c r="E10" s="291"/>
      <c r="F10" s="291"/>
      <c r="G10" s="182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</row>
    <row r="11" spans="1:48" ht="12.5" customHeight="1" x14ac:dyDescent="0.35">
      <c r="B11" s="295"/>
      <c r="C11" s="294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5" customHeight="1" x14ac:dyDescent="0.35">
      <c r="B12" s="295" t="s">
        <v>1035</v>
      </c>
      <c r="C12" s="294"/>
      <c r="G12" s="297" t="s">
        <v>944</v>
      </c>
      <c r="H12" s="298"/>
      <c r="I12" s="298"/>
      <c r="J12" s="299" t="s">
        <v>246</v>
      </c>
      <c r="K12" s="299"/>
      <c r="L12" s="299"/>
      <c r="M12" s="299"/>
      <c r="N12" s="299"/>
      <c r="O12" s="299"/>
      <c r="P12" s="299"/>
      <c r="Q12" s="299"/>
      <c r="R12" s="300"/>
      <c r="S12" s="300"/>
      <c r="T12" s="301"/>
      <c r="U12" s="301"/>
      <c r="V12" s="301"/>
      <c r="W12" s="298"/>
      <c r="X12" s="300"/>
      <c r="Y12" s="300"/>
      <c r="Z12" s="300"/>
      <c r="AA12" s="300"/>
      <c r="AB12" s="300"/>
      <c r="AC12" s="300"/>
      <c r="AD12" s="300"/>
      <c r="AE12" s="300"/>
      <c r="AF12" s="301"/>
      <c r="AG12" s="298"/>
      <c r="AH12" s="301"/>
      <c r="AI12" s="302"/>
      <c r="AJ12" s="301"/>
      <c r="AK12" s="298"/>
      <c r="AL12" s="298"/>
      <c r="AM12" s="301"/>
      <c r="AN12" s="301"/>
      <c r="AO12" s="301"/>
      <c r="AP12" s="301"/>
      <c r="AQ12" s="301"/>
      <c r="AR12" s="301"/>
      <c r="AS12" s="303"/>
      <c r="AT12" s="218"/>
      <c r="AU12" s="216"/>
    </row>
    <row r="13" spans="1:48" ht="12.5" customHeight="1" x14ac:dyDescent="0.45">
      <c r="A13" s="204"/>
      <c r="B13" s="296">
        <f>COUNTIF(C13:C19,"CATEGORY_START")</f>
        <v>1</v>
      </c>
      <c r="C13" s="296" t="s">
        <v>1037</v>
      </c>
      <c r="D13" s="205"/>
      <c r="E13" s="205"/>
      <c r="F13" s="206"/>
      <c r="G13" s="190"/>
      <c r="H13" s="245" t="s">
        <v>950</v>
      </c>
      <c r="I13" s="245"/>
      <c r="J13" s="245"/>
      <c r="K13" s="245"/>
      <c r="L13" s="245"/>
      <c r="M13" s="245"/>
      <c r="N13" s="245"/>
      <c r="O13" s="245"/>
      <c r="P13" s="245"/>
      <c r="Q13" s="245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217"/>
      <c r="AU13" s="219"/>
      <c r="AV13" s="181"/>
    </row>
    <row r="14" spans="1:48" ht="12.5" customHeight="1" x14ac:dyDescent="0.45">
      <c r="A14" s="204"/>
      <c r="B14" s="296"/>
      <c r="C14" s="296"/>
      <c r="D14" s="205"/>
      <c r="E14" s="205"/>
      <c r="F14" s="205"/>
      <c r="G14" s="180"/>
      <c r="H14" s="193"/>
      <c r="I14" s="221" t="s">
        <v>0</v>
      </c>
      <c r="J14" s="221"/>
      <c r="K14" s="221"/>
      <c r="L14" s="221"/>
      <c r="M14" s="221"/>
      <c r="N14" s="221"/>
      <c r="O14" s="221" t="s">
        <v>951</v>
      </c>
      <c r="P14" s="221"/>
      <c r="Q14" s="221"/>
      <c r="R14" s="221" t="s">
        <v>952</v>
      </c>
      <c r="S14" s="221"/>
      <c r="T14" s="221"/>
      <c r="U14" s="221"/>
      <c r="V14" s="221"/>
      <c r="W14" s="221"/>
      <c r="X14" s="221"/>
      <c r="Y14" s="221" t="s">
        <v>953</v>
      </c>
      <c r="Z14" s="221"/>
      <c r="AA14" s="221"/>
      <c r="AB14" s="221"/>
      <c r="AC14" s="221"/>
      <c r="AD14" s="221" t="s">
        <v>942</v>
      </c>
      <c r="AE14" s="221"/>
      <c r="AF14" s="221"/>
      <c r="AG14" s="221"/>
      <c r="AH14" s="221"/>
      <c r="AI14" s="221"/>
      <c r="AJ14" s="221"/>
      <c r="AK14" s="221" t="s">
        <v>954</v>
      </c>
      <c r="AL14" s="221"/>
      <c r="AM14" s="221"/>
      <c r="AN14" s="221"/>
      <c r="AO14" s="221"/>
      <c r="AP14" s="222" t="s">
        <v>468</v>
      </c>
      <c r="AQ14" s="222"/>
      <c r="AR14" s="222"/>
      <c r="AS14" s="223"/>
      <c r="AT14" s="189"/>
      <c r="AU14" s="189"/>
      <c r="AV14" s="181"/>
    </row>
    <row r="15" spans="1:48" s="164" customFormat="1" ht="12.5" customHeight="1" x14ac:dyDescent="0.45">
      <c r="A15" s="204"/>
      <c r="B15" s="296"/>
      <c r="C15" s="296">
        <f>COUNTA(I15:N16)</f>
        <v>0</v>
      </c>
      <c r="D15" s="205"/>
      <c r="E15" s="205"/>
      <c r="F15" s="205">
        <f>COUNTA(I15:N16)</f>
        <v>0</v>
      </c>
      <c r="G15" s="183"/>
      <c r="H15" s="183"/>
      <c r="I15" s="227"/>
      <c r="J15" s="227"/>
      <c r="K15" s="227"/>
      <c r="L15" s="227"/>
      <c r="M15" s="227"/>
      <c r="N15" s="228"/>
      <c r="O15" s="284"/>
      <c r="P15" s="285"/>
      <c r="Q15" s="286"/>
      <c r="R15" s="232"/>
      <c r="S15" s="232"/>
      <c r="T15" s="232"/>
      <c r="U15" s="232"/>
      <c r="V15" s="232"/>
      <c r="W15" s="232"/>
      <c r="X15" s="232"/>
      <c r="Y15" s="225"/>
      <c r="Z15" s="225"/>
      <c r="AA15" s="225"/>
      <c r="AB15" s="225"/>
      <c r="AC15" s="225"/>
      <c r="AD15" s="232"/>
      <c r="AE15" s="232"/>
      <c r="AF15" s="232"/>
      <c r="AG15" s="232"/>
      <c r="AH15" s="232"/>
      <c r="AI15" s="232"/>
      <c r="AJ15" s="232"/>
      <c r="AK15" s="225"/>
      <c r="AL15" s="225"/>
      <c r="AM15" s="225"/>
      <c r="AN15" s="225"/>
      <c r="AO15" s="225"/>
      <c r="AP15" s="225"/>
      <c r="AQ15" s="225"/>
      <c r="AR15" s="225"/>
      <c r="AS15" s="226"/>
      <c r="AT15" s="214"/>
      <c r="AU15" s="215"/>
      <c r="AV15" s="181"/>
    </row>
    <row r="16" spans="1:48" s="164" customFormat="1" ht="12.5" customHeight="1" x14ac:dyDescent="0.45">
      <c r="A16" s="204"/>
      <c r="B16" s="296"/>
      <c r="C16" s="296">
        <f>COUNTA(I16:N17)</f>
        <v>0</v>
      </c>
      <c r="D16" s="205"/>
      <c r="E16" s="205"/>
      <c r="F16" s="205">
        <f>COUNTA(I16:N17)</f>
        <v>0</v>
      </c>
      <c r="G16" s="183"/>
      <c r="H16" s="183"/>
      <c r="I16" s="227"/>
      <c r="J16" s="227"/>
      <c r="K16" s="227"/>
      <c r="L16" s="227"/>
      <c r="M16" s="227"/>
      <c r="N16" s="228"/>
      <c r="O16" s="284"/>
      <c r="P16" s="285"/>
      <c r="Q16" s="286"/>
      <c r="R16" s="232"/>
      <c r="S16" s="232"/>
      <c r="T16" s="232"/>
      <c r="U16" s="232"/>
      <c r="V16" s="232"/>
      <c r="W16" s="232"/>
      <c r="X16" s="232"/>
      <c r="Y16" s="225"/>
      <c r="Z16" s="225"/>
      <c r="AA16" s="225"/>
      <c r="AB16" s="225"/>
      <c r="AC16" s="225"/>
      <c r="AD16" s="232"/>
      <c r="AE16" s="232"/>
      <c r="AF16" s="232"/>
      <c r="AG16" s="232"/>
      <c r="AH16" s="232"/>
      <c r="AI16" s="232"/>
      <c r="AJ16" s="232"/>
      <c r="AK16" s="225"/>
      <c r="AL16" s="225"/>
      <c r="AM16" s="225"/>
      <c r="AN16" s="225"/>
      <c r="AO16" s="225"/>
      <c r="AP16" s="225"/>
      <c r="AQ16" s="225"/>
      <c r="AR16" s="225"/>
      <c r="AS16" s="226"/>
      <c r="AT16" s="214"/>
      <c r="AU16" s="215"/>
      <c r="AV16" s="181"/>
    </row>
    <row r="17" spans="1:48" ht="12.5" customHeight="1" thickBot="1" x14ac:dyDescent="0.5">
      <c r="A17" s="204"/>
      <c r="B17" s="296"/>
      <c r="C17" s="296"/>
      <c r="D17" s="292">
        <f>AD17</f>
        <v>0</v>
      </c>
      <c r="E17" s="205"/>
      <c r="F17" s="205"/>
      <c r="G17" s="195"/>
      <c r="H17" s="195"/>
      <c r="I17" s="224"/>
      <c r="J17" s="224"/>
      <c r="K17" s="224"/>
      <c r="L17" s="184"/>
      <c r="M17" s="184"/>
      <c r="N17" s="184"/>
      <c r="O17" s="184"/>
      <c r="P17" s="184"/>
      <c r="Q17" s="184"/>
      <c r="R17" s="252" t="str">
        <f>H13&amp;" Total"</f>
        <v>Northbound Total</v>
      </c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48">
        <f>SUM(AD15:AJ16)</f>
        <v>0</v>
      </c>
      <c r="AE17" s="249"/>
      <c r="AF17" s="249"/>
      <c r="AG17" s="249"/>
      <c r="AH17" s="249"/>
      <c r="AI17" s="249"/>
      <c r="AJ17" s="249"/>
      <c r="AK17" s="250" t="s">
        <v>526</v>
      </c>
      <c r="AL17" s="251"/>
      <c r="AM17" s="251"/>
      <c r="AN17" s="251"/>
      <c r="AO17" s="251"/>
      <c r="AP17" s="182"/>
      <c r="AQ17" s="182"/>
      <c r="AR17" s="182"/>
      <c r="AS17" s="182"/>
      <c r="AT17" s="194"/>
      <c r="AU17" s="189"/>
      <c r="AV17" s="181"/>
    </row>
    <row r="18" spans="1:48" ht="12.5" customHeight="1" x14ac:dyDescent="0.45">
      <c r="A18" s="204"/>
      <c r="B18" s="296"/>
      <c r="C18" s="296" t="s">
        <v>1038</v>
      </c>
      <c r="D18" s="205"/>
      <c r="E18" s="205"/>
      <c r="F18" s="205"/>
      <c r="G18" s="195"/>
      <c r="H18" s="195"/>
      <c r="I18" s="195"/>
      <c r="J18" s="195"/>
      <c r="K18" s="195"/>
      <c r="L18" s="196"/>
      <c r="M18" s="196"/>
      <c r="N18" s="196"/>
      <c r="O18" s="196"/>
      <c r="P18" s="196"/>
      <c r="Q18" s="196"/>
      <c r="R18" s="196"/>
      <c r="S18" s="196"/>
      <c r="T18" s="195"/>
      <c r="U18" s="195"/>
      <c r="V18" s="195"/>
      <c r="W18" s="195"/>
      <c r="X18" s="195"/>
      <c r="Y18" s="197"/>
      <c r="Z18" s="197"/>
      <c r="AA18" s="197"/>
      <c r="AB18" s="197"/>
      <c r="AC18" s="197"/>
      <c r="AD18" s="198"/>
      <c r="AE18" s="198"/>
      <c r="AF18" s="198"/>
      <c r="AG18" s="198"/>
      <c r="AH18" s="198"/>
      <c r="AI18" s="198"/>
      <c r="AJ18" s="198"/>
      <c r="AK18" s="196"/>
      <c r="AL18" s="196"/>
      <c r="AM18" s="196"/>
      <c r="AN18" s="196"/>
      <c r="AO18" s="196"/>
      <c r="AP18" s="287"/>
      <c r="AQ18" s="287"/>
      <c r="AR18" s="287"/>
      <c r="AS18" s="287"/>
      <c r="AT18" s="199"/>
      <c r="AU18" s="189"/>
      <c r="AV18" s="181"/>
    </row>
    <row r="19" spans="1:48" ht="12.5" customHeight="1" x14ac:dyDescent="0.35">
      <c r="A19" s="164"/>
      <c r="B19" s="295" t="s">
        <v>1036</v>
      </c>
      <c r="C19" s="295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288"/>
      <c r="T19" s="288"/>
      <c r="U19" s="288"/>
      <c r="V19" s="288"/>
      <c r="W19" s="288"/>
      <c r="X19" s="288"/>
      <c r="Y19" s="288"/>
      <c r="Z19" s="288"/>
      <c r="AA19" s="288"/>
      <c r="AB19" s="288"/>
      <c r="AC19" s="288"/>
      <c r="AD19" s="288"/>
      <c r="AE19" s="288"/>
      <c r="AF19" s="288"/>
      <c r="AG19" s="288"/>
      <c r="AH19" s="288"/>
      <c r="AI19" s="288"/>
      <c r="AJ19" s="288"/>
      <c r="AK19" s="288"/>
      <c r="AL19" s="288"/>
      <c r="AM19" s="288"/>
      <c r="AN19" s="288"/>
      <c r="AO19" s="288"/>
      <c r="AP19" s="288"/>
      <c r="AQ19" s="288"/>
      <c r="AR19" s="288"/>
      <c r="AS19" s="288"/>
      <c r="AT19" s="164"/>
      <c r="AU19" s="164"/>
      <c r="AV19" s="164"/>
    </row>
    <row r="20" spans="1:48" ht="12.5" customHeight="1" x14ac:dyDescent="0.35">
      <c r="B20" s="295"/>
      <c r="C20" s="294"/>
      <c r="G20" s="297" t="s">
        <v>92</v>
      </c>
      <c r="H20" s="301"/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1"/>
      <c r="V20" s="301"/>
      <c r="W20" s="301"/>
      <c r="X20" s="301"/>
      <c r="Y20" s="301"/>
      <c r="Z20" s="301"/>
      <c r="AA20" s="301"/>
      <c r="AB20" s="301"/>
      <c r="AC20" s="301"/>
      <c r="AD20" s="301"/>
      <c r="AE20" s="301"/>
      <c r="AF20" s="301"/>
      <c r="AG20" s="301"/>
      <c r="AH20" s="301"/>
      <c r="AI20" s="301"/>
      <c r="AJ20" s="301"/>
      <c r="AK20" s="301"/>
      <c r="AL20" s="301"/>
      <c r="AM20" s="301"/>
      <c r="AN20" s="301"/>
      <c r="AO20" s="301"/>
      <c r="AP20" s="301"/>
      <c r="AQ20" s="301"/>
      <c r="AR20" s="301"/>
      <c r="AS20" s="303"/>
    </row>
    <row r="21" spans="1:48" ht="12.5" customHeight="1" x14ac:dyDescent="0.35">
      <c r="B21" s="295"/>
      <c r="C21" s="294"/>
      <c r="G21" s="182"/>
      <c r="H21" s="180"/>
      <c r="I21" s="304" t="s">
        <v>0</v>
      </c>
      <c r="J21" s="304"/>
      <c r="K21" s="304"/>
      <c r="L21" s="304"/>
      <c r="M21" s="304"/>
      <c r="N21" s="304"/>
      <c r="O21" s="304" t="s">
        <v>951</v>
      </c>
      <c r="P21" s="304"/>
      <c r="Q21" s="304"/>
      <c r="R21" s="304" t="s">
        <v>952</v>
      </c>
      <c r="S21" s="304"/>
      <c r="T21" s="304"/>
      <c r="U21" s="304"/>
      <c r="V21" s="304"/>
      <c r="W21" s="304"/>
      <c r="X21" s="304"/>
      <c r="Y21" s="304" t="s">
        <v>953</v>
      </c>
      <c r="Z21" s="304"/>
      <c r="AA21" s="304"/>
      <c r="AB21" s="304"/>
      <c r="AC21" s="304"/>
      <c r="AD21" s="304" t="s">
        <v>942</v>
      </c>
      <c r="AE21" s="304"/>
      <c r="AF21" s="304"/>
      <c r="AG21" s="304"/>
      <c r="AH21" s="304"/>
      <c r="AI21" s="304"/>
      <c r="AJ21" s="304"/>
      <c r="AK21" s="304" t="s">
        <v>954</v>
      </c>
      <c r="AL21" s="304"/>
      <c r="AM21" s="304"/>
      <c r="AN21" s="304"/>
      <c r="AO21" s="304"/>
      <c r="AP21" s="305" t="s">
        <v>468</v>
      </c>
      <c r="AQ21" s="305"/>
      <c r="AR21" s="305"/>
      <c r="AS21" s="306"/>
      <c r="AT21" s="189"/>
      <c r="AU21" s="189"/>
    </row>
    <row r="22" spans="1:48" ht="12.5" customHeight="1" x14ac:dyDescent="0.35">
      <c r="B22" s="295"/>
      <c r="C22" s="294"/>
      <c r="D22" s="293">
        <f>AD23</f>
        <v>0</v>
      </c>
      <c r="G22" s="182"/>
      <c r="H22" s="288"/>
      <c r="I22" s="227"/>
      <c r="J22" s="227"/>
      <c r="K22" s="227"/>
      <c r="L22" s="227"/>
      <c r="M22" s="227"/>
      <c r="N22" s="228"/>
      <c r="O22" s="284"/>
      <c r="P22" s="285"/>
      <c r="Q22" s="286"/>
      <c r="R22" s="232"/>
      <c r="S22" s="232"/>
      <c r="T22" s="232"/>
      <c r="U22" s="232"/>
      <c r="V22" s="232"/>
      <c r="W22" s="232"/>
      <c r="X22" s="232"/>
      <c r="Y22" s="225"/>
      <c r="Z22" s="225"/>
      <c r="AA22" s="225"/>
      <c r="AB22" s="225"/>
      <c r="AC22" s="225"/>
      <c r="AD22" s="232"/>
      <c r="AE22" s="232"/>
      <c r="AF22" s="232"/>
      <c r="AG22" s="232"/>
      <c r="AH22" s="232"/>
      <c r="AI22" s="232"/>
      <c r="AJ22" s="232"/>
      <c r="AK22" s="225"/>
      <c r="AL22" s="225"/>
      <c r="AM22" s="225"/>
      <c r="AN22" s="225"/>
      <c r="AO22" s="225"/>
      <c r="AP22" s="225"/>
      <c r="AQ22" s="225"/>
      <c r="AR22" s="225"/>
      <c r="AS22" s="226"/>
      <c r="AT22" s="214"/>
      <c r="AU22" s="215"/>
    </row>
    <row r="23" spans="1:48" ht="12.5" customHeight="1" thickBot="1" x14ac:dyDescent="0.4">
      <c r="B23" s="295"/>
      <c r="C23" s="294"/>
      <c r="G23" s="182"/>
      <c r="H23" s="182"/>
      <c r="I23" s="224"/>
      <c r="J23" s="224"/>
      <c r="K23" s="224"/>
      <c r="L23" s="184"/>
      <c r="M23" s="184"/>
      <c r="N23" s="184"/>
      <c r="O23" s="184"/>
      <c r="P23" s="184"/>
      <c r="Q23" s="184"/>
      <c r="R23" s="252" t="s">
        <v>92</v>
      </c>
      <c r="S23" s="252"/>
      <c r="T23" s="252"/>
      <c r="U23" s="252"/>
      <c r="V23" s="252"/>
      <c r="W23" s="252"/>
      <c r="X23" s="252"/>
      <c r="Y23" s="252"/>
      <c r="Z23" s="252"/>
      <c r="AA23" s="252"/>
      <c r="AB23" s="252"/>
      <c r="AC23" s="252"/>
      <c r="AD23" s="248">
        <f>SUM($AD$22:AD22)</f>
        <v>0</v>
      </c>
      <c r="AE23" s="249"/>
      <c r="AF23" s="249"/>
      <c r="AG23" s="249"/>
      <c r="AH23" s="249"/>
      <c r="AI23" s="249"/>
      <c r="AJ23" s="249"/>
      <c r="AK23" s="250" t="s">
        <v>526</v>
      </c>
      <c r="AL23" s="251"/>
      <c r="AM23" s="251"/>
      <c r="AN23" s="251"/>
      <c r="AO23" s="251"/>
      <c r="AP23" s="182"/>
      <c r="AQ23" s="182"/>
      <c r="AR23" s="182"/>
      <c r="AS23" s="182"/>
    </row>
    <row r="24" spans="1:48" ht="12.5" customHeight="1" thickTop="1" x14ac:dyDescent="0.35">
      <c r="B24" s="295"/>
      <c r="C24" s="294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P24" s="182"/>
      <c r="AQ24" s="182"/>
      <c r="AR24" s="182"/>
      <c r="AS24" s="182"/>
      <c r="AT24" s="164"/>
      <c r="AU24" s="164"/>
    </row>
    <row r="25" spans="1:48" ht="12.5" customHeight="1" thickBot="1" x14ac:dyDescent="0.4">
      <c r="B25" s="295"/>
      <c r="C25" s="295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P25" s="182"/>
      <c r="AQ25" s="182"/>
      <c r="AR25" s="182"/>
      <c r="AS25" s="182"/>
    </row>
    <row r="26" spans="1:48" ht="12.5" customHeight="1" thickTop="1" x14ac:dyDescent="0.35">
      <c r="B26" s="295"/>
      <c r="C26" s="295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220" t="s">
        <v>91</v>
      </c>
      <c r="AD26" s="253">
        <f>SUM($D$12:D33)</f>
        <v>0</v>
      </c>
      <c r="AE26" s="253"/>
      <c r="AF26" s="253"/>
      <c r="AG26" s="253"/>
      <c r="AH26" s="253"/>
      <c r="AI26" s="253"/>
      <c r="AJ26" s="253"/>
      <c r="AK26" s="253" t="s">
        <v>526</v>
      </c>
      <c r="AL26" s="253"/>
      <c r="AM26" s="253"/>
      <c r="AN26" s="253"/>
      <c r="AO26" s="253"/>
      <c r="AP26" s="288"/>
      <c r="AQ26" s="288"/>
      <c r="AR26" s="288"/>
      <c r="AS26" s="288"/>
    </row>
    <row r="27" spans="1:48" ht="12.5" customHeight="1" x14ac:dyDescent="0.35">
      <c r="B27" s="295"/>
      <c r="C27" s="295"/>
      <c r="G27" s="182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288"/>
      <c r="AE27" s="288"/>
      <c r="AF27" s="288"/>
      <c r="AG27" s="288"/>
      <c r="AH27" s="288"/>
      <c r="AI27" s="288"/>
      <c r="AJ27" s="288"/>
      <c r="AK27" s="288"/>
      <c r="AL27" s="288"/>
      <c r="AM27" s="288"/>
      <c r="AN27" s="288"/>
      <c r="AO27" s="288"/>
      <c r="AP27" s="182"/>
      <c r="AQ27" s="182"/>
      <c r="AR27" s="182"/>
      <c r="AS27" s="182"/>
    </row>
    <row r="28" spans="1:48" ht="12.5" customHeight="1" x14ac:dyDescent="0.35">
      <c r="A28" s="164"/>
      <c r="B28" s="295"/>
      <c r="C28" s="295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288"/>
      <c r="AE28" s="288"/>
      <c r="AF28" s="288"/>
      <c r="AG28" s="288"/>
      <c r="AH28" s="288"/>
      <c r="AI28" s="288"/>
      <c r="AJ28" s="288"/>
      <c r="AK28" s="288"/>
      <c r="AL28" s="288"/>
      <c r="AM28" s="288"/>
      <c r="AN28" s="288"/>
      <c r="AO28" s="288"/>
      <c r="AP28" s="182"/>
      <c r="AQ28" s="182"/>
      <c r="AR28" s="182"/>
      <c r="AS28" s="182"/>
      <c r="AT28" s="164"/>
      <c r="AU28" s="164"/>
      <c r="AV28" s="164"/>
    </row>
    <row r="29" spans="1:48" ht="12.5" customHeight="1" x14ac:dyDescent="0.35">
      <c r="B29" s="295"/>
      <c r="C29" s="295"/>
      <c r="G29" s="182"/>
      <c r="H29" s="288"/>
      <c r="I29" s="288"/>
      <c r="J29" s="288"/>
      <c r="K29" s="288"/>
      <c r="L29" s="288"/>
      <c r="M29" s="288"/>
      <c r="N29" s="288"/>
      <c r="O29" s="288"/>
      <c r="P29" s="288"/>
      <c r="Q29" s="288"/>
      <c r="R29" s="288"/>
      <c r="S29" s="288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  <c r="AH29" s="224" t="s">
        <v>947</v>
      </c>
      <c r="AI29" s="224"/>
      <c r="AJ29" s="224"/>
      <c r="AK29" s="224"/>
      <c r="AL29" s="209"/>
      <c r="AM29" s="209"/>
      <c r="AN29" s="209"/>
      <c r="AO29" s="209"/>
      <c r="AP29" s="209"/>
      <c r="AQ29" s="209"/>
      <c r="AR29" s="209"/>
      <c r="AS29" s="209"/>
      <c r="AT29" s="164"/>
      <c r="AU29" s="164"/>
    </row>
    <row r="30" spans="1:48" ht="12.5" customHeight="1" x14ac:dyDescent="0.35">
      <c r="B30" s="295"/>
      <c r="C30" s="295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  <c r="AH30" s="288"/>
      <c r="AI30" s="288"/>
      <c r="AJ30" s="288"/>
      <c r="AK30" s="288"/>
      <c r="AL30" s="288"/>
      <c r="AM30" s="288"/>
      <c r="AN30" s="288"/>
      <c r="AO30" s="288"/>
      <c r="AP30" s="288"/>
      <c r="AQ30" s="288"/>
      <c r="AR30" s="288"/>
      <c r="AS30" s="288"/>
      <c r="AT30" s="164"/>
      <c r="AU30" s="164"/>
    </row>
    <row r="31" spans="1:48" ht="12.5" customHeight="1" x14ac:dyDescent="0.35">
      <c r="B31" s="295"/>
      <c r="C31" s="295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2"/>
      <c r="AB31" s="182"/>
      <c r="AC31" s="182"/>
      <c r="AD31" s="182"/>
      <c r="AE31" s="182"/>
      <c r="AF31" s="182"/>
      <c r="AG31" s="182"/>
      <c r="AH31" s="182"/>
      <c r="AI31" s="182"/>
      <c r="AJ31" s="182"/>
      <c r="AK31" s="182"/>
      <c r="AL31" s="182"/>
      <c r="AM31" s="182"/>
      <c r="AN31" s="182"/>
      <c r="AO31" s="182"/>
      <c r="AP31" s="182"/>
      <c r="AQ31" s="182"/>
      <c r="AR31" s="182"/>
      <c r="AS31" s="182"/>
      <c r="AT31" s="164"/>
      <c r="AU31" s="164"/>
    </row>
    <row r="32" spans="1:48" ht="12.5" customHeight="1" x14ac:dyDescent="0.35">
      <c r="B32" s="295"/>
      <c r="C32" s="295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  <c r="AI32" s="182"/>
      <c r="AJ32" s="182"/>
      <c r="AK32" s="182"/>
      <c r="AL32" s="182"/>
      <c r="AM32" s="182"/>
      <c r="AN32" s="182"/>
      <c r="AO32" s="182"/>
      <c r="AP32" s="182"/>
      <c r="AQ32" s="182"/>
      <c r="AR32" s="182"/>
      <c r="AS32" s="182"/>
      <c r="AT32" s="164"/>
      <c r="AU32" s="164"/>
    </row>
    <row r="33" spans="2:45" ht="12.5" customHeight="1" x14ac:dyDescent="0.35">
      <c r="B33" s="295"/>
      <c r="C33" s="295"/>
      <c r="G33" s="182"/>
      <c r="H33" s="224" t="s">
        <v>948</v>
      </c>
      <c r="I33" s="224"/>
      <c r="J33" s="224"/>
      <c r="K33" s="224"/>
      <c r="L33" s="209"/>
      <c r="M33" s="209"/>
      <c r="N33" s="209"/>
      <c r="O33" s="209"/>
      <c r="P33" s="209"/>
      <c r="Q33" s="209"/>
      <c r="R33" s="209"/>
      <c r="S33" s="209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  <c r="AH33" s="224" t="s">
        <v>949</v>
      </c>
      <c r="AI33" s="224"/>
      <c r="AJ33" s="224"/>
      <c r="AK33" s="224"/>
      <c r="AL33" s="209"/>
      <c r="AM33" s="209"/>
      <c r="AN33" s="209"/>
      <c r="AO33" s="209"/>
      <c r="AP33" s="209"/>
      <c r="AQ33" s="209"/>
      <c r="AR33" s="209"/>
      <c r="AS33" s="209"/>
    </row>
    <row r="34" spans="2:45" ht="12.5" customHeight="1" x14ac:dyDescent="0.35">
      <c r="B34" s="295"/>
      <c r="C34" s="295"/>
      <c r="G34" s="288"/>
      <c r="H34" s="288"/>
      <c r="I34" s="288"/>
      <c r="J34" s="288"/>
      <c r="K34" s="288"/>
      <c r="L34" s="288"/>
      <c r="M34" s="288"/>
      <c r="N34" s="288"/>
      <c r="O34" s="288"/>
      <c r="P34" s="288"/>
      <c r="Q34" s="288"/>
      <c r="R34" s="288"/>
      <c r="S34" s="288"/>
      <c r="T34" s="288"/>
      <c r="U34" s="288"/>
      <c r="V34" s="288"/>
      <c r="W34" s="288"/>
      <c r="X34" s="288"/>
      <c r="Y34" s="288"/>
      <c r="Z34" s="288"/>
      <c r="AA34" s="288"/>
      <c r="AB34" s="288"/>
      <c r="AC34" s="288"/>
      <c r="AD34" s="288"/>
      <c r="AE34" s="288"/>
      <c r="AF34" s="288"/>
      <c r="AG34" s="288"/>
      <c r="AH34" s="288"/>
      <c r="AI34" s="288"/>
      <c r="AJ34" s="288"/>
      <c r="AK34" s="288"/>
      <c r="AL34" s="288"/>
      <c r="AM34" s="288"/>
      <c r="AN34" s="288"/>
      <c r="AO34" s="288"/>
      <c r="AP34" s="288"/>
      <c r="AQ34" s="288"/>
      <c r="AR34" s="288"/>
      <c r="AS34" s="288"/>
    </row>
    <row r="35" spans="2:45" ht="12.5" customHeight="1" x14ac:dyDescent="0.35">
      <c r="B35" s="295"/>
      <c r="C35" s="295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8"/>
      <c r="X35" s="288"/>
      <c r="Y35" s="288"/>
      <c r="Z35" s="288"/>
      <c r="AA35" s="288"/>
      <c r="AB35" s="288"/>
      <c r="AC35" s="288"/>
      <c r="AD35" s="288"/>
      <c r="AE35" s="288"/>
      <c r="AF35" s="288"/>
      <c r="AG35" s="288"/>
      <c r="AH35" s="288"/>
      <c r="AI35" s="288"/>
      <c r="AJ35" s="288"/>
      <c r="AK35" s="288"/>
      <c r="AL35" s="288"/>
      <c r="AM35" s="288"/>
      <c r="AN35" s="288"/>
      <c r="AO35" s="288"/>
      <c r="AP35" s="288"/>
      <c r="AQ35" s="288"/>
      <c r="AR35" s="288"/>
      <c r="AS35" s="288"/>
    </row>
    <row r="36" spans="2:45" x14ac:dyDescent="0.35">
      <c r="B36" s="295"/>
      <c r="C36" s="295"/>
      <c r="G36" s="288"/>
      <c r="H36" s="288"/>
      <c r="I36" s="288"/>
      <c r="J36" s="288"/>
      <c r="K36" s="288"/>
      <c r="L36" s="288"/>
      <c r="M36" s="288"/>
      <c r="N36" s="288"/>
      <c r="O36" s="288"/>
      <c r="P36" s="288"/>
      <c r="Q36" s="288"/>
      <c r="R36" s="288"/>
      <c r="S36" s="288"/>
      <c r="T36" s="288"/>
      <c r="U36" s="288"/>
      <c r="V36" s="288"/>
      <c r="W36" s="288"/>
      <c r="X36" s="288"/>
      <c r="Y36" s="288"/>
      <c r="Z36" s="288"/>
      <c r="AA36" s="288"/>
      <c r="AB36" s="288"/>
      <c r="AC36" s="288"/>
      <c r="AD36" s="288"/>
      <c r="AE36" s="288"/>
      <c r="AF36" s="288"/>
      <c r="AG36" s="288"/>
      <c r="AH36" s="288"/>
      <c r="AI36" s="288"/>
      <c r="AJ36" s="288"/>
      <c r="AK36" s="288"/>
      <c r="AL36" s="288"/>
      <c r="AM36" s="288"/>
      <c r="AN36" s="288"/>
      <c r="AO36" s="288"/>
      <c r="AP36" s="288"/>
      <c r="AQ36" s="288"/>
      <c r="AR36" s="288"/>
      <c r="AS36" s="288"/>
    </row>
    <row r="37" spans="2:45" x14ac:dyDescent="0.35">
      <c r="B37" s="295"/>
      <c r="C37" s="295"/>
    </row>
    <row r="38" spans="2:45" x14ac:dyDescent="0.35">
      <c r="B38" s="295"/>
      <c r="C38" s="295"/>
    </row>
  </sheetData>
  <mergeCells count="40">
    <mergeCell ref="AK15:AO15"/>
    <mergeCell ref="AP15:AS15"/>
    <mergeCell ref="I15:N15"/>
    <mergeCell ref="O15:Q15"/>
    <mergeCell ref="R15:X15"/>
    <mergeCell ref="Y15:AC15"/>
    <mergeCell ref="AD15:AJ15"/>
    <mergeCell ref="AK26:AO26"/>
    <mergeCell ref="I16:N16"/>
    <mergeCell ref="O16:Q16"/>
    <mergeCell ref="R16:X16"/>
    <mergeCell ref="Y16:AC16"/>
    <mergeCell ref="AD16:AJ16"/>
    <mergeCell ref="AK16:AO16"/>
    <mergeCell ref="AP16:AS16"/>
    <mergeCell ref="AP22:AS22"/>
    <mergeCell ref="AD23:AJ23"/>
    <mergeCell ref="R23:AC23"/>
    <mergeCell ref="AK23:AO23"/>
    <mergeCell ref="J12:Q12"/>
    <mergeCell ref="H13:Q13"/>
    <mergeCell ref="R17:AC17"/>
    <mergeCell ref="AD17:AJ17"/>
    <mergeCell ref="AK17:AO17"/>
    <mergeCell ref="AL7:AS7"/>
    <mergeCell ref="AL8:AS8"/>
    <mergeCell ref="AL9:AS9"/>
    <mergeCell ref="L8:S8"/>
    <mergeCell ref="Y8:AF8"/>
    <mergeCell ref="Y9:AF9"/>
    <mergeCell ref="L9:S9"/>
    <mergeCell ref="L7:S7"/>
    <mergeCell ref="Y7:AF7"/>
    <mergeCell ref="AD26:AJ26"/>
    <mergeCell ref="I22:N22"/>
    <mergeCell ref="O22:Q22"/>
    <mergeCell ref="R22:X22"/>
    <mergeCell ref="Y22:AC22"/>
    <mergeCell ref="AD22:AJ22"/>
    <mergeCell ref="AK22:AO22"/>
  </mergeCells>
  <dataValidations count="2">
    <dataValidation allowBlank="1" sqref="G23:H23"/>
    <dataValidation allowBlank="1" showErrorMessage="1" promptTitle="DON'T TYPE OVER THIS" prompt="This cell contains a formula!" sqref="AP23:AS25 G24:Q25 R25:Y25 R24 AP17:AS17 I17:R17 I23:R23"/>
  </dataValidations>
  <hyperlinks>
    <hyperlink ref="AT20" r:id="rId1" location="Templates!AT11" display="myself"/>
    <hyperlink ref="AU20" location="Templates!A1" tooltip="Remove_Point" display="Ñ"/>
  </hyperlinks>
  <pageMargins left="0.7" right="0.7" top="0.75" bottom="0.75" header="0.3" footer="0.3"/>
  <pageSetup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5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6350</xdr:rowOff>
                  </from>
                  <to>
                    <xdr:col>45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6350</xdr:rowOff>
                  </from>
                  <to>
                    <xdr:col>45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6350</xdr:rowOff>
                  </from>
                  <to>
                    <xdr:col>45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Data!$D$2:$D$7</xm:f>
          </x14:formula1>
          <xm:sqref>AP22:AS22 AP15:AS16</xm:sqref>
        </x14:dataValidation>
        <x14:dataValidation type="list" allowBlank="1" showInputMessage="1" showErrorMessage="1">
          <x14:formula1>
            <xm:f>Data!$B$2:$B$7</xm:f>
          </x14:formula1>
          <xm:sqref>H13:Q13 H21</xm:sqref>
        </x14:dataValidation>
        <x14:dataValidation type="list" allowBlank="1" showInputMessage="1" showErrorMessage="1">
          <x14:formula1>
            <xm:f>'South African Currencies'!$A$2:$A$55</xm:f>
          </x14:formula1>
          <xm:sqref>AK23:AO23 AK17:AO17 AK26:AO26</xm:sqref>
        </x14:dataValidation>
        <x14:dataValidation type="list" allowBlank="1" showInputMessage="1" showErrorMessage="1">
          <x14:formula1>
            <xm:f>[1]Sheet2!#REF!</xm:f>
          </x14:formula1>
          <xm:sqref>AK24:AO25</xm:sqref>
        </x14:dataValidation>
        <x14:dataValidation type="list" allowBlank="1" showInputMessage="1">
          <x14:formula1>
            <xm:f>Inventory!$C$7:$C$37</xm:f>
          </x14:formula1>
          <xm:sqref>I22:N22 I15:N16</xm:sqref>
        </x14:dataValidation>
        <x14:dataValidation type="list" allowBlank="1" showInputMessage="1" showErrorMessage="1">
          <x14:formula1>
            <xm:f>Countries!$C$2:$C$59</xm:f>
          </x14:formula1>
          <xm:sqref>J12:Q12</xm:sqref>
        </x14:dataValidation>
        <x14:dataValidation type="list" allowBlank="1" showInputMessage="1">
          <x14:formula1>
            <xm:f>'South African Currencies'!$A$2:$A$55</xm:f>
          </x14:formula1>
          <xm:sqref>AK22:AO22 Y22:AC22 Y15:AC16 AK15:AO16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955</v>
      </c>
      <c r="B1" s="185" t="s">
        <v>956</v>
      </c>
      <c r="C1" s="185" t="s">
        <v>957</v>
      </c>
    </row>
    <row r="2" spans="1:3" ht="15" thickBot="1" x14ac:dyDescent="0.4">
      <c r="A2" s="186" t="s">
        <v>388</v>
      </c>
      <c r="B2" s="187" t="s">
        <v>958</v>
      </c>
      <c r="C2" s="187" t="s">
        <v>959</v>
      </c>
    </row>
    <row r="3" spans="1:3" ht="15" thickBot="1" x14ac:dyDescent="0.4">
      <c r="A3" s="186" t="s">
        <v>399</v>
      </c>
      <c r="B3" s="187" t="s">
        <v>960</v>
      </c>
      <c r="C3" s="187" t="s">
        <v>961</v>
      </c>
    </row>
    <row r="4" spans="1:3" ht="15" thickBot="1" x14ac:dyDescent="0.4">
      <c r="A4" s="186" t="s">
        <v>54</v>
      </c>
      <c r="B4" s="187" t="s">
        <v>962</v>
      </c>
      <c r="C4" s="187" t="s">
        <v>963</v>
      </c>
    </row>
    <row r="5" spans="1:3" ht="15" thickBot="1" x14ac:dyDescent="0.4">
      <c r="A5" s="186" t="s">
        <v>408</v>
      </c>
      <c r="B5" s="187" t="s">
        <v>964</v>
      </c>
      <c r="C5" s="187" t="s">
        <v>833</v>
      </c>
    </row>
    <row r="6" spans="1:3" ht="15" thickBot="1" x14ac:dyDescent="0.4">
      <c r="A6" s="186" t="s">
        <v>417</v>
      </c>
      <c r="B6" s="187" t="s">
        <v>965</v>
      </c>
      <c r="C6" s="187" t="s">
        <v>966</v>
      </c>
    </row>
    <row r="7" spans="1:3" ht="15" thickBot="1" x14ac:dyDescent="0.4">
      <c r="A7" s="186" t="s">
        <v>420</v>
      </c>
      <c r="B7" s="187" t="s">
        <v>967</v>
      </c>
      <c r="C7" s="187" t="s">
        <v>824</v>
      </c>
    </row>
    <row r="8" spans="1:3" ht="15" thickBot="1" x14ac:dyDescent="0.4">
      <c r="A8" s="186" t="s">
        <v>423</v>
      </c>
      <c r="B8" s="187" t="s">
        <v>968</v>
      </c>
      <c r="C8" s="187" t="s">
        <v>969</v>
      </c>
    </row>
    <row r="9" spans="1:3" ht="15" thickBot="1" x14ac:dyDescent="0.4">
      <c r="A9" s="186" t="s">
        <v>424</v>
      </c>
      <c r="B9" s="187" t="s">
        <v>970</v>
      </c>
      <c r="C9" s="187" t="s">
        <v>971</v>
      </c>
    </row>
    <row r="10" spans="1:3" ht="15" thickBot="1" x14ac:dyDescent="0.4">
      <c r="A10" s="186" t="s">
        <v>426</v>
      </c>
      <c r="B10" s="187" t="s">
        <v>972</v>
      </c>
      <c r="C10" s="187" t="s">
        <v>973</v>
      </c>
    </row>
    <row r="11" spans="1:3" ht="15" thickBot="1" x14ac:dyDescent="0.4">
      <c r="A11" s="186" t="s">
        <v>427</v>
      </c>
      <c r="B11" s="187" t="s">
        <v>974</v>
      </c>
      <c r="C11" s="187" t="s">
        <v>901</v>
      </c>
    </row>
    <row r="12" spans="1:3" ht="15" thickBot="1" x14ac:dyDescent="0.4">
      <c r="A12" s="186" t="s">
        <v>431</v>
      </c>
      <c r="B12" s="187" t="s">
        <v>975</v>
      </c>
      <c r="C12" s="187" t="s">
        <v>976</v>
      </c>
    </row>
    <row r="13" spans="1:3" ht="15" thickBot="1" x14ac:dyDescent="0.4">
      <c r="A13" s="186" t="s">
        <v>433</v>
      </c>
      <c r="B13" s="187" t="s">
        <v>977</v>
      </c>
      <c r="C13" s="187" t="s">
        <v>978</v>
      </c>
    </row>
    <row r="14" spans="1:3" ht="15" thickBot="1" x14ac:dyDescent="0.4">
      <c r="A14" s="186" t="s">
        <v>434</v>
      </c>
      <c r="B14" s="187" t="s">
        <v>979</v>
      </c>
      <c r="C14" s="187" t="s">
        <v>779</v>
      </c>
    </row>
    <row r="15" spans="1:3" ht="15" thickBot="1" x14ac:dyDescent="0.4">
      <c r="A15" s="186" t="s">
        <v>451</v>
      </c>
      <c r="B15" s="187" t="s">
        <v>980</v>
      </c>
      <c r="C15" s="187" t="s">
        <v>877</v>
      </c>
    </row>
    <row r="16" spans="1:3" ht="15" thickBot="1" x14ac:dyDescent="0.4">
      <c r="A16" s="186" t="s">
        <v>454</v>
      </c>
      <c r="B16" s="187" t="s">
        <v>981</v>
      </c>
      <c r="C16" s="187" t="s">
        <v>982</v>
      </c>
    </row>
    <row r="17" spans="1:3" ht="15" thickBot="1" x14ac:dyDescent="0.4">
      <c r="A17" s="186" t="s">
        <v>461</v>
      </c>
      <c r="B17" s="187" t="s">
        <v>983</v>
      </c>
      <c r="C17" s="187" t="s">
        <v>796</v>
      </c>
    </row>
    <row r="18" spans="1:3" ht="15" thickBot="1" x14ac:dyDescent="0.4">
      <c r="A18" s="186" t="s">
        <v>462</v>
      </c>
      <c r="B18" s="187" t="s">
        <v>984</v>
      </c>
      <c r="C18" s="187" t="s">
        <v>985</v>
      </c>
    </row>
    <row r="19" spans="1:3" ht="15" thickBot="1" x14ac:dyDescent="0.4">
      <c r="A19" s="186" t="s">
        <v>463</v>
      </c>
      <c r="B19" s="187" t="s">
        <v>986</v>
      </c>
      <c r="C19" s="187" t="s">
        <v>987</v>
      </c>
    </row>
    <row r="20" spans="1:3" ht="15" thickBot="1" x14ac:dyDescent="0.4">
      <c r="A20" s="186" t="s">
        <v>425</v>
      </c>
      <c r="B20" s="187" t="s">
        <v>988</v>
      </c>
      <c r="C20" s="187" t="s">
        <v>989</v>
      </c>
    </row>
    <row r="21" spans="1:3" ht="15" thickBot="1" x14ac:dyDescent="0.4">
      <c r="A21" s="186" t="s">
        <v>465</v>
      </c>
      <c r="B21" s="187" t="s">
        <v>990</v>
      </c>
      <c r="C21" s="187" t="s">
        <v>848</v>
      </c>
    </row>
    <row r="22" spans="1:3" ht="15" thickBot="1" x14ac:dyDescent="0.4">
      <c r="A22" s="186" t="s">
        <v>469</v>
      </c>
      <c r="B22" s="187" t="s">
        <v>991</v>
      </c>
      <c r="C22" s="187" t="s">
        <v>992</v>
      </c>
    </row>
    <row r="23" spans="1:3" ht="15" thickBot="1" x14ac:dyDescent="0.4">
      <c r="A23" s="186" t="s">
        <v>470</v>
      </c>
      <c r="B23" s="187" t="s">
        <v>993</v>
      </c>
      <c r="C23" s="187" t="s">
        <v>994</v>
      </c>
    </row>
    <row r="24" spans="1:3" ht="15" thickBot="1" x14ac:dyDescent="0.4">
      <c r="A24" s="186" t="s">
        <v>472</v>
      </c>
      <c r="B24" s="187" t="s">
        <v>995</v>
      </c>
      <c r="C24" s="187" t="s">
        <v>815</v>
      </c>
    </row>
    <row r="25" spans="1:3" ht="15" thickBot="1" x14ac:dyDescent="0.4">
      <c r="A25" s="186" t="s">
        <v>475</v>
      </c>
      <c r="B25" s="187" t="s">
        <v>996</v>
      </c>
      <c r="C25" s="187" t="s">
        <v>798</v>
      </c>
    </row>
    <row r="26" spans="1:3" ht="15" thickBot="1" x14ac:dyDescent="0.4">
      <c r="A26" s="186" t="s">
        <v>476</v>
      </c>
      <c r="B26" s="187" t="s">
        <v>997</v>
      </c>
      <c r="C26" s="187" t="s">
        <v>893</v>
      </c>
    </row>
    <row r="27" spans="1:3" ht="15" thickBot="1" x14ac:dyDescent="0.4">
      <c r="A27" s="186" t="s">
        <v>478</v>
      </c>
      <c r="B27" s="187" t="s">
        <v>998</v>
      </c>
      <c r="C27" s="187" t="s">
        <v>999</v>
      </c>
    </row>
    <row r="28" spans="1:3" ht="15" thickBot="1" x14ac:dyDescent="0.4">
      <c r="A28" s="186" t="s">
        <v>493</v>
      </c>
      <c r="B28" s="187" t="s">
        <v>1000</v>
      </c>
      <c r="C28" s="187" t="s">
        <v>788</v>
      </c>
    </row>
    <row r="29" spans="1:3" ht="15" thickBot="1" x14ac:dyDescent="0.4">
      <c r="A29" s="186" t="s">
        <v>496</v>
      </c>
      <c r="B29" s="187" t="s">
        <v>1001</v>
      </c>
      <c r="C29" s="187" t="s">
        <v>1002</v>
      </c>
    </row>
    <row r="30" spans="1:3" ht="15" thickBot="1" x14ac:dyDescent="0.4">
      <c r="A30" s="186" t="s">
        <v>497</v>
      </c>
      <c r="B30" s="187" t="s">
        <v>1003</v>
      </c>
      <c r="C30" s="187" t="s">
        <v>797</v>
      </c>
    </row>
    <row r="31" spans="1:3" ht="15" thickBot="1" x14ac:dyDescent="0.4">
      <c r="A31" s="186" t="s">
        <v>501</v>
      </c>
      <c r="B31" s="187" t="s">
        <v>1004</v>
      </c>
      <c r="C31" s="187" t="s">
        <v>789</v>
      </c>
    </row>
    <row r="32" spans="1:3" ht="15" thickBot="1" x14ac:dyDescent="0.4">
      <c r="A32" s="186" t="s">
        <v>502</v>
      </c>
      <c r="B32" s="187" t="s">
        <v>1005</v>
      </c>
      <c r="C32" s="187" t="s">
        <v>835</v>
      </c>
    </row>
    <row r="33" spans="1:3" ht="15" thickBot="1" x14ac:dyDescent="0.4">
      <c r="A33" s="186" t="s">
        <v>504</v>
      </c>
      <c r="B33" s="187" t="s">
        <v>1006</v>
      </c>
      <c r="C33" s="187" t="s">
        <v>842</v>
      </c>
    </row>
    <row r="34" spans="1:3" ht="15" thickBot="1" x14ac:dyDescent="0.4">
      <c r="A34" s="186" t="s">
        <v>505</v>
      </c>
      <c r="B34" s="187" t="s">
        <v>1007</v>
      </c>
      <c r="C34" s="187" t="s">
        <v>1008</v>
      </c>
    </row>
    <row r="35" spans="1:3" ht="15" thickBot="1" x14ac:dyDescent="0.4">
      <c r="A35" s="186" t="s">
        <v>507</v>
      </c>
      <c r="B35" s="187" t="s">
        <v>1009</v>
      </c>
      <c r="C35" s="187" t="s">
        <v>1010</v>
      </c>
    </row>
    <row r="36" spans="1:3" ht="15" thickBot="1" x14ac:dyDescent="0.4">
      <c r="A36" s="186" t="s">
        <v>511</v>
      </c>
      <c r="B36" s="187" t="s">
        <v>1011</v>
      </c>
      <c r="C36" s="187" t="s">
        <v>1012</v>
      </c>
    </row>
    <row r="37" spans="1:3" ht="15" thickBot="1" x14ac:dyDescent="0.4">
      <c r="A37" s="186" t="s">
        <v>516</v>
      </c>
      <c r="B37" s="187" t="s">
        <v>1013</v>
      </c>
      <c r="C37" s="187" t="s">
        <v>790</v>
      </c>
    </row>
    <row r="38" spans="1:3" ht="15" thickBot="1" x14ac:dyDescent="0.4">
      <c r="A38" s="186" t="s">
        <v>518</v>
      </c>
      <c r="B38" s="187" t="s">
        <v>1014</v>
      </c>
      <c r="C38" s="187" t="s">
        <v>886</v>
      </c>
    </row>
    <row r="39" spans="1:3" ht="15" thickBot="1" x14ac:dyDescent="0.4">
      <c r="A39" s="186" t="s">
        <v>409</v>
      </c>
      <c r="B39" s="187" t="s">
        <v>1015</v>
      </c>
      <c r="C39" s="187" t="s">
        <v>1016</v>
      </c>
    </row>
    <row r="40" spans="1:3" ht="15" thickBot="1" x14ac:dyDescent="0.4">
      <c r="A40" s="186" t="s">
        <v>409</v>
      </c>
      <c r="B40" s="187" t="s">
        <v>1017</v>
      </c>
      <c r="C40" s="187" t="s">
        <v>1016</v>
      </c>
    </row>
    <row r="41" spans="1:3" ht="15" thickBot="1" x14ac:dyDescent="0.4">
      <c r="A41" s="186" t="s">
        <v>409</v>
      </c>
      <c r="B41" s="187" t="s">
        <v>1018</v>
      </c>
      <c r="C41" s="187" t="s">
        <v>1016</v>
      </c>
    </row>
    <row r="42" spans="1:3" ht="15" thickBot="1" x14ac:dyDescent="0.4">
      <c r="A42" s="186" t="s">
        <v>409</v>
      </c>
      <c r="B42" s="187" t="s">
        <v>1019</v>
      </c>
      <c r="C42" s="187" t="s">
        <v>1016</v>
      </c>
    </row>
    <row r="43" spans="1:3" ht="15" thickBot="1" x14ac:dyDescent="0.4">
      <c r="A43" s="186" t="s">
        <v>409</v>
      </c>
      <c r="B43" s="187" t="s">
        <v>1020</v>
      </c>
      <c r="C43" s="187" t="s">
        <v>1016</v>
      </c>
    </row>
    <row r="44" spans="1:3" ht="15" thickBot="1" x14ac:dyDescent="0.4">
      <c r="A44" s="186" t="s">
        <v>409</v>
      </c>
      <c r="B44" s="187" t="s">
        <v>1021</v>
      </c>
      <c r="C44" s="187" t="s">
        <v>1016</v>
      </c>
    </row>
    <row r="45" spans="1:3" ht="15" thickBot="1" x14ac:dyDescent="0.4">
      <c r="A45" s="186" t="s">
        <v>396</v>
      </c>
      <c r="B45" s="187" t="s">
        <v>1022</v>
      </c>
      <c r="C45" s="187" t="s">
        <v>1016</v>
      </c>
    </row>
    <row r="46" spans="1:3" ht="15" thickBot="1" x14ac:dyDescent="0.4">
      <c r="A46" s="186" t="s">
        <v>396</v>
      </c>
      <c r="B46" s="187" t="s">
        <v>1023</v>
      </c>
      <c r="C46" s="187" t="s">
        <v>1016</v>
      </c>
    </row>
    <row r="47" spans="1:3" ht="15" thickBot="1" x14ac:dyDescent="0.4">
      <c r="A47" s="186" t="s">
        <v>396</v>
      </c>
      <c r="B47" s="187" t="s">
        <v>1024</v>
      </c>
      <c r="C47" s="187" t="s">
        <v>1016</v>
      </c>
    </row>
    <row r="48" spans="1:3" ht="15" thickBot="1" x14ac:dyDescent="0.4">
      <c r="A48" s="186" t="s">
        <v>396</v>
      </c>
      <c r="B48" s="187" t="s">
        <v>1025</v>
      </c>
      <c r="C48" s="187" t="s">
        <v>1016</v>
      </c>
    </row>
    <row r="49" spans="1:3" ht="15" thickBot="1" x14ac:dyDescent="0.4">
      <c r="A49" s="186" t="s">
        <v>396</v>
      </c>
      <c r="B49" s="187" t="s">
        <v>1026</v>
      </c>
      <c r="C49" s="187" t="s">
        <v>1016</v>
      </c>
    </row>
    <row r="50" spans="1:3" ht="15" thickBot="1" x14ac:dyDescent="0.4">
      <c r="A50" s="186" t="s">
        <v>396</v>
      </c>
      <c r="B50" s="187" t="s">
        <v>1027</v>
      </c>
      <c r="C50" s="187" t="s">
        <v>1016</v>
      </c>
    </row>
    <row r="51" spans="1:3" ht="15" thickBot="1" x14ac:dyDescent="0.4">
      <c r="A51" s="186" t="s">
        <v>396</v>
      </c>
      <c r="B51" s="187" t="s">
        <v>1028</v>
      </c>
      <c r="C51" s="187" t="s">
        <v>1016</v>
      </c>
    </row>
    <row r="52" spans="1:3" ht="15" thickBot="1" x14ac:dyDescent="0.4">
      <c r="A52" s="186" t="s">
        <v>396</v>
      </c>
      <c r="B52" s="187" t="s">
        <v>1029</v>
      </c>
      <c r="C52" s="187" t="s">
        <v>1016</v>
      </c>
    </row>
    <row r="53" spans="1:3" ht="15" thickBot="1" x14ac:dyDescent="0.4">
      <c r="A53" s="186" t="s">
        <v>526</v>
      </c>
      <c r="B53" s="187" t="s">
        <v>1030</v>
      </c>
      <c r="C53" s="187" t="s">
        <v>763</v>
      </c>
    </row>
    <row r="54" spans="1:3" ht="15" thickBot="1" x14ac:dyDescent="0.4">
      <c r="A54" s="186" t="s">
        <v>1031</v>
      </c>
      <c r="B54" s="187" t="s">
        <v>1032</v>
      </c>
      <c r="C54" s="188" t="s">
        <v>1033</v>
      </c>
    </row>
    <row r="55" spans="1:3" ht="15" thickBot="1" x14ac:dyDescent="0.4">
      <c r="A55" s="186" t="s">
        <v>527</v>
      </c>
      <c r="B55" s="187" t="s">
        <v>1034</v>
      </c>
      <c r="C55" s="187" t="s">
        <v>912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58" t="s">
        <v>32</v>
      </c>
      <c r="H10" s="258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58" t="s">
        <v>63</v>
      </c>
      <c r="H11" s="258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58" t="s">
        <v>67</v>
      </c>
      <c r="H12" s="258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59"/>
      <c r="F13" s="259"/>
      <c r="G13" s="259"/>
      <c r="H13" s="259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57"/>
      <c r="F14" s="257"/>
      <c r="G14" s="257"/>
      <c r="H14" s="257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60"/>
      <c r="F15" s="260"/>
      <c r="G15" s="260" t="s">
        <v>72</v>
      </c>
      <c r="H15" s="260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59">
        <v>1600</v>
      </c>
      <c r="F16" s="259"/>
      <c r="G16" s="261" t="s">
        <v>73</v>
      </c>
      <c r="H16" s="261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65" t="s">
        <v>77</v>
      </c>
      <c r="P17" s="265"/>
    </row>
    <row r="18" spans="4:16" ht="15" thickBot="1" x14ac:dyDescent="0.4">
      <c r="D18" s="113" t="s">
        <v>75</v>
      </c>
      <c r="E18" s="262">
        <f>SUM(E16)</f>
        <v>1600</v>
      </c>
      <c r="F18" s="262"/>
      <c r="G18" s="259"/>
      <c r="H18" s="259"/>
      <c r="I18" s="133">
        <f>SUM(I16)</f>
        <v>0</v>
      </c>
      <c r="J18" s="111"/>
      <c r="K18" s="111"/>
      <c r="L18" s="112"/>
      <c r="O18" s="265" t="s">
        <v>79</v>
      </c>
      <c r="P18" s="265"/>
    </row>
    <row r="19" spans="4:16" ht="15" thickTop="1" x14ac:dyDescent="0.35">
      <c r="D19" s="110"/>
      <c r="E19" s="259"/>
      <c r="F19" s="259"/>
      <c r="G19" s="259"/>
      <c r="H19" s="259"/>
      <c r="I19" s="111"/>
      <c r="J19" s="111"/>
      <c r="K19" s="111"/>
      <c r="L19" s="112"/>
      <c r="O19" s="265" t="s">
        <v>81</v>
      </c>
      <c r="P19" s="265"/>
    </row>
    <row r="20" spans="4:16" x14ac:dyDescent="0.35">
      <c r="D20" s="120" t="s">
        <v>11</v>
      </c>
      <c r="E20" s="257"/>
      <c r="F20" s="257"/>
      <c r="G20" s="257"/>
      <c r="H20" s="257"/>
      <c r="I20" s="111"/>
      <c r="J20" s="111"/>
      <c r="K20" s="111"/>
      <c r="L20" s="112"/>
      <c r="O20" s="265" t="s">
        <v>83</v>
      </c>
      <c r="P20" s="265"/>
    </row>
    <row r="21" spans="4:16" x14ac:dyDescent="0.35">
      <c r="D21" s="128" t="s">
        <v>71</v>
      </c>
      <c r="E21" s="260"/>
      <c r="F21" s="260"/>
      <c r="G21" s="260" t="s">
        <v>72</v>
      </c>
      <c r="H21" s="260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263">
        <v>1700</v>
      </c>
      <c r="F22" s="264"/>
      <c r="G22" s="265" t="s">
        <v>77</v>
      </c>
      <c r="H22" s="265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263">
        <v>0</v>
      </c>
      <c r="F23" s="263"/>
      <c r="G23" s="265" t="s">
        <v>79</v>
      </c>
      <c r="H23" s="265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263">
        <v>0</v>
      </c>
      <c r="F24" s="263"/>
      <c r="G24" s="265" t="s">
        <v>81</v>
      </c>
      <c r="H24" s="265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63">
        <v>340</v>
      </c>
      <c r="F25" s="263"/>
      <c r="G25" s="265" t="s">
        <v>83</v>
      </c>
      <c r="H25" s="265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63">
        <v>390</v>
      </c>
      <c r="F26" s="263"/>
      <c r="G26" s="263"/>
      <c r="H26" s="263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63">
        <v>680</v>
      </c>
      <c r="F27" s="263"/>
      <c r="G27" s="263"/>
      <c r="H27" s="263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63">
        <v>390</v>
      </c>
      <c r="F28" s="263"/>
      <c r="G28" s="263"/>
      <c r="H28" s="263"/>
      <c r="I28" s="125"/>
      <c r="J28" s="135"/>
      <c r="K28" s="125"/>
      <c r="L28" s="138"/>
      <c r="O28" s="261" t="s">
        <v>79</v>
      </c>
      <c r="P28" s="261"/>
    </row>
    <row r="29" spans="4:16" ht="15" thickBot="1" x14ac:dyDescent="0.4">
      <c r="D29" s="139" t="s">
        <v>75</v>
      </c>
      <c r="E29" s="266">
        <f>SUM(E22:F28)</f>
        <v>3500</v>
      </c>
      <c r="F29" s="267"/>
      <c r="G29" s="268"/>
      <c r="H29" s="268"/>
      <c r="I29" s="140">
        <f>SUM(I22:I28)</f>
        <v>2845</v>
      </c>
      <c r="J29" s="125"/>
      <c r="K29" s="140">
        <f>SUM(K22:K28)</f>
        <v>4080</v>
      </c>
      <c r="L29" s="138"/>
      <c r="O29" s="261" t="s">
        <v>81</v>
      </c>
      <c r="P29" s="261"/>
    </row>
    <row r="30" spans="4:16" ht="15" thickTop="1" x14ac:dyDescent="0.35">
      <c r="D30" s="141"/>
      <c r="E30" s="268"/>
      <c r="F30" s="268"/>
      <c r="G30" s="268"/>
      <c r="H30" s="268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57"/>
      <c r="F31" s="257"/>
      <c r="G31" s="257"/>
      <c r="H31" s="257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260"/>
      <c r="F32" s="260"/>
      <c r="G32" s="260" t="s">
        <v>72</v>
      </c>
      <c r="H32" s="260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59">
        <v>1700</v>
      </c>
      <c r="F33" s="259"/>
      <c r="G33" s="261" t="s">
        <v>79</v>
      </c>
      <c r="H33" s="261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69">
        <v>380</v>
      </c>
      <c r="F34" s="269"/>
      <c r="G34" s="261" t="s">
        <v>81</v>
      </c>
      <c r="H34" s="261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69">
        <v>500</v>
      </c>
      <c r="F35" s="269"/>
      <c r="G35" s="261"/>
      <c r="H35" s="261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69">
        <v>300</v>
      </c>
      <c r="F36" s="269"/>
      <c r="G36" s="261"/>
      <c r="H36" s="261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62">
        <f>SUM(E33:F36)</f>
        <v>2880</v>
      </c>
      <c r="F37" s="262"/>
      <c r="G37" s="259"/>
      <c r="H37" s="259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59"/>
      <c r="F38" s="259"/>
      <c r="G38" s="259"/>
      <c r="H38" s="259"/>
      <c r="I38" s="111"/>
      <c r="J38" s="111"/>
      <c r="K38" s="111"/>
      <c r="L38" s="112"/>
    </row>
    <row r="39" spans="4:15" x14ac:dyDescent="0.35">
      <c r="D39" s="128" t="s">
        <v>92</v>
      </c>
      <c r="E39" s="260"/>
      <c r="F39" s="260"/>
      <c r="G39" s="260"/>
      <c r="H39" s="260"/>
      <c r="I39" s="121"/>
      <c r="J39" s="121"/>
      <c r="K39" s="121"/>
      <c r="L39" s="130"/>
    </row>
    <row r="40" spans="4:15" x14ac:dyDescent="0.35">
      <c r="D40" s="131" t="s">
        <v>93</v>
      </c>
      <c r="E40" s="259">
        <v>1000</v>
      </c>
      <c r="F40" s="259"/>
      <c r="G40" s="259"/>
      <c r="H40" s="259"/>
      <c r="I40" s="111"/>
      <c r="J40" s="111"/>
      <c r="K40" s="111"/>
      <c r="L40" s="112"/>
    </row>
    <row r="41" spans="4:15" x14ac:dyDescent="0.35">
      <c r="D41" s="131" t="s">
        <v>94</v>
      </c>
      <c r="E41" s="259">
        <v>500</v>
      </c>
      <c r="F41" s="259"/>
      <c r="G41" s="259"/>
      <c r="H41" s="259"/>
      <c r="I41" s="111"/>
      <c r="J41" s="111"/>
      <c r="K41" s="111"/>
      <c r="L41" s="112"/>
    </row>
    <row r="42" spans="4:15" ht="15" thickBot="1" x14ac:dyDescent="0.4">
      <c r="D42" s="113" t="s">
        <v>75</v>
      </c>
      <c r="E42" s="262">
        <f>SUM(E40:F41)</f>
        <v>1500</v>
      </c>
      <c r="F42" s="262"/>
      <c r="G42" s="259"/>
      <c r="H42" s="259"/>
      <c r="I42" s="111"/>
      <c r="J42" s="111"/>
      <c r="K42" s="111"/>
      <c r="L42" s="112"/>
    </row>
    <row r="43" spans="4:15" ht="15" thickTop="1" x14ac:dyDescent="0.35">
      <c r="D43" s="110"/>
      <c r="E43" s="259"/>
      <c r="F43" s="259"/>
      <c r="G43" s="259"/>
      <c r="H43" s="259"/>
      <c r="I43" s="111"/>
      <c r="J43" s="111"/>
      <c r="K43" s="111"/>
      <c r="L43" s="112"/>
    </row>
    <row r="44" spans="4:15" ht="15" thickBot="1" x14ac:dyDescent="0.4">
      <c r="D44" s="144" t="s">
        <v>95</v>
      </c>
      <c r="E44" s="270">
        <f>SUM(E18,I18,K18,E29,I29,K29,E37,K37,I37,E42)</f>
        <v>17205</v>
      </c>
      <c r="F44" s="270"/>
      <c r="G44" s="259"/>
      <c r="H44" s="259"/>
      <c r="I44" s="111"/>
      <c r="J44" s="145" t="s">
        <v>96</v>
      </c>
      <c r="K44" s="133"/>
      <c r="L44" s="112"/>
    </row>
    <row r="45" spans="4:15" ht="15" thickTop="1" x14ac:dyDescent="0.35">
      <c r="D45" s="144"/>
      <c r="E45" s="271"/>
      <c r="F45" s="271"/>
      <c r="G45" s="145"/>
      <c r="H45" s="145"/>
      <c r="I45" s="111"/>
      <c r="J45" s="145"/>
      <c r="K45" s="146"/>
      <c r="L45" s="112"/>
    </row>
    <row r="46" spans="4:15" x14ac:dyDescent="0.35">
      <c r="D46" s="144"/>
      <c r="E46" s="271"/>
      <c r="F46" s="271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72"/>
      <c r="F47" s="272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71"/>
      <c r="F48" s="271"/>
      <c r="G48" s="145"/>
      <c r="H48" s="145"/>
      <c r="I48" s="111"/>
      <c r="J48" s="145"/>
      <c r="K48" s="146"/>
      <c r="L48" s="112"/>
    </row>
    <row r="49" spans="4:12" x14ac:dyDescent="0.35">
      <c r="D49" s="144"/>
      <c r="E49" s="271"/>
      <c r="F49" s="271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73"/>
      <c r="F50" s="273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1045</v>
      </c>
      <c r="E2" s="158" t="s">
        <v>551</v>
      </c>
      <c r="F2" s="158" t="s">
        <v>526</v>
      </c>
      <c r="G2" s="158" t="s">
        <v>1046</v>
      </c>
      <c r="H2" s="158" t="s">
        <v>1046</v>
      </c>
      <c r="I2" s="158" t="s">
        <v>1047</v>
      </c>
      <c r="J2" s="159" t="s">
        <v>615</v>
      </c>
      <c r="K2" s="158" t="s">
        <v>1195</v>
      </c>
      <c r="L2" s="158" t="s">
        <v>1046</v>
      </c>
      <c r="M2" s="158" t="s">
        <v>526</v>
      </c>
      <c r="N2" s="158" t="s">
        <v>763</v>
      </c>
      <c r="O2" s="158" t="s">
        <v>53</v>
      </c>
      <c r="P2" s="158" t="s">
        <v>767</v>
      </c>
      <c r="Q2" s="158" t="s">
        <v>1343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1045</v>
      </c>
      <c r="E3" s="158" t="s">
        <v>551</v>
      </c>
      <c r="F3" s="158" t="s">
        <v>526</v>
      </c>
      <c r="G3" s="158" t="s">
        <v>1046</v>
      </c>
      <c r="H3" s="158" t="s">
        <v>1046</v>
      </c>
      <c r="I3" s="158" t="s">
        <v>1048</v>
      </c>
      <c r="J3" s="159" t="s">
        <v>616</v>
      </c>
      <c r="K3" s="158" t="s">
        <v>1196</v>
      </c>
      <c r="L3" s="158" t="s">
        <v>1046</v>
      </c>
      <c r="M3" s="158" t="s">
        <v>526</v>
      </c>
      <c r="N3" s="158" t="s">
        <v>763</v>
      </c>
      <c r="O3" s="158" t="s">
        <v>382</v>
      </c>
      <c r="P3" s="158" t="s">
        <v>768</v>
      </c>
      <c r="Q3" s="158" t="s">
        <v>1344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1045</v>
      </c>
      <c r="E4" s="158" t="s">
        <v>551</v>
      </c>
      <c r="F4" s="158" t="s">
        <v>526</v>
      </c>
      <c r="G4" s="158" t="s">
        <v>1046</v>
      </c>
      <c r="H4" s="158" t="s">
        <v>1046</v>
      </c>
      <c r="I4" s="158" t="s">
        <v>1049</v>
      </c>
      <c r="J4" s="159" t="s">
        <v>617</v>
      </c>
      <c r="K4" s="158" t="s">
        <v>1197</v>
      </c>
      <c r="L4" s="158" t="s">
        <v>1046</v>
      </c>
      <c r="M4" s="158" t="s">
        <v>526</v>
      </c>
      <c r="N4" s="158" t="s">
        <v>763</v>
      </c>
      <c r="O4" s="158" t="s">
        <v>429</v>
      </c>
      <c r="P4" s="158" t="s">
        <v>769</v>
      </c>
      <c r="Q4" s="158" t="s">
        <v>1345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1045</v>
      </c>
      <c r="E5" s="158" t="s">
        <v>551</v>
      </c>
      <c r="F5" s="158" t="s">
        <v>526</v>
      </c>
      <c r="G5" s="158" t="s">
        <v>1046</v>
      </c>
      <c r="H5" s="158" t="s">
        <v>1046</v>
      </c>
      <c r="I5" s="158" t="s">
        <v>1050</v>
      </c>
      <c r="J5" s="159" t="s">
        <v>618</v>
      </c>
      <c r="K5" s="158" t="s">
        <v>1198</v>
      </c>
      <c r="L5" s="158" t="s">
        <v>1046</v>
      </c>
      <c r="M5" s="158" t="s">
        <v>526</v>
      </c>
      <c r="N5" s="158" t="s">
        <v>763</v>
      </c>
      <c r="O5" s="158" t="s">
        <v>450</v>
      </c>
      <c r="P5" s="158" t="s">
        <v>770</v>
      </c>
      <c r="Q5" s="158" t="s">
        <v>1346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1045</v>
      </c>
      <c r="E6" s="158" t="s">
        <v>551</v>
      </c>
      <c r="F6" s="158" t="s">
        <v>526</v>
      </c>
      <c r="G6" s="158" t="s">
        <v>1046</v>
      </c>
      <c r="H6" s="158" t="s">
        <v>1046</v>
      </c>
      <c r="I6" s="158" t="s">
        <v>1051</v>
      </c>
      <c r="J6" s="159" t="s">
        <v>619</v>
      </c>
      <c r="K6" s="158" t="s">
        <v>1199</v>
      </c>
      <c r="L6" s="158" t="s">
        <v>1046</v>
      </c>
      <c r="M6" s="158" t="s">
        <v>526</v>
      </c>
      <c r="N6" s="158" t="s">
        <v>763</v>
      </c>
      <c r="O6" s="158" t="s">
        <v>410</v>
      </c>
      <c r="P6" s="158" t="s">
        <v>771</v>
      </c>
      <c r="Q6" s="158" t="s">
        <v>1347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1045</v>
      </c>
      <c r="E7" s="158" t="s">
        <v>551</v>
      </c>
      <c r="F7" s="158" t="s">
        <v>526</v>
      </c>
      <c r="G7" s="158" t="s">
        <v>1046</v>
      </c>
      <c r="H7" s="158" t="s">
        <v>1046</v>
      </c>
      <c r="I7" s="158" t="s">
        <v>1052</v>
      </c>
      <c r="J7" s="159" t="s">
        <v>620</v>
      </c>
      <c r="K7" s="158" t="s">
        <v>1200</v>
      </c>
      <c r="L7" s="158" t="s">
        <v>1046</v>
      </c>
      <c r="M7" s="158" t="s">
        <v>526</v>
      </c>
      <c r="N7" s="158" t="s">
        <v>763</v>
      </c>
      <c r="O7" s="158" t="s">
        <v>407</v>
      </c>
      <c r="P7" s="158" t="s">
        <v>772</v>
      </c>
      <c r="Q7" s="158" t="s">
        <v>1348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1045</v>
      </c>
      <c r="E8" s="158" t="s">
        <v>551</v>
      </c>
      <c r="F8" s="158" t="s">
        <v>526</v>
      </c>
      <c r="G8" s="158" t="s">
        <v>1046</v>
      </c>
      <c r="H8" s="158" t="s">
        <v>1046</v>
      </c>
      <c r="I8" s="158" t="s">
        <v>1053</v>
      </c>
      <c r="J8" s="159" t="s">
        <v>621</v>
      </c>
      <c r="K8" s="158" t="s">
        <v>1201</v>
      </c>
      <c r="L8" s="158" t="s">
        <v>1046</v>
      </c>
      <c r="M8" s="158" t="s">
        <v>526</v>
      </c>
      <c r="N8" s="158" t="s">
        <v>763</v>
      </c>
      <c r="O8" s="158" t="s">
        <v>390</v>
      </c>
      <c r="P8" s="158" t="s">
        <v>773</v>
      </c>
      <c r="Q8" s="158" t="s">
        <v>1349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1045</v>
      </c>
      <c r="E9" s="158" t="s">
        <v>551</v>
      </c>
      <c r="F9" s="158" t="s">
        <v>526</v>
      </c>
      <c r="G9" s="158" t="s">
        <v>1046</v>
      </c>
      <c r="H9" s="158" t="s">
        <v>1046</v>
      </c>
      <c r="I9" s="158" t="s">
        <v>1054</v>
      </c>
      <c r="J9" s="159" t="s">
        <v>754</v>
      </c>
      <c r="K9" s="158" t="s">
        <v>1202</v>
      </c>
      <c r="L9" s="158" t="s">
        <v>1046</v>
      </c>
      <c r="M9" s="158" t="s">
        <v>526</v>
      </c>
      <c r="N9" s="158" t="s">
        <v>763</v>
      </c>
      <c r="O9" s="158" t="s">
        <v>470</v>
      </c>
      <c r="P9" s="158" t="s">
        <v>906</v>
      </c>
      <c r="Q9" s="158" t="s">
        <v>1350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1045</v>
      </c>
      <c r="E10" s="158" t="s">
        <v>551</v>
      </c>
      <c r="F10" s="158" t="s">
        <v>526</v>
      </c>
      <c r="G10" s="158" t="s">
        <v>1046</v>
      </c>
      <c r="H10" s="158" t="s">
        <v>1046</v>
      </c>
      <c r="I10" s="158" t="s">
        <v>1055</v>
      </c>
      <c r="J10" s="159" t="s">
        <v>755</v>
      </c>
      <c r="K10" s="158" t="s">
        <v>1203</v>
      </c>
      <c r="L10" s="158" t="s">
        <v>1046</v>
      </c>
      <c r="M10" s="158" t="s">
        <v>526</v>
      </c>
      <c r="N10" s="158" t="s">
        <v>763</v>
      </c>
      <c r="O10" s="158" t="s">
        <v>514</v>
      </c>
      <c r="P10" s="158" t="s">
        <v>907</v>
      </c>
      <c r="Q10" s="158" t="s">
        <v>1351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1045</v>
      </c>
      <c r="E11" s="158" t="s">
        <v>551</v>
      </c>
      <c r="F11" s="158" t="s">
        <v>526</v>
      </c>
      <c r="G11" s="158" t="s">
        <v>1046</v>
      </c>
      <c r="H11" s="158" t="s">
        <v>1046</v>
      </c>
      <c r="I11" s="158" t="s">
        <v>1056</v>
      </c>
      <c r="J11" s="159" t="s">
        <v>756</v>
      </c>
      <c r="K11" s="158" t="s">
        <v>1204</v>
      </c>
      <c r="L11" s="158" t="s">
        <v>1046</v>
      </c>
      <c r="M11" s="158" t="s">
        <v>526</v>
      </c>
      <c r="N11" s="158" t="s">
        <v>763</v>
      </c>
      <c r="O11" s="158" t="s">
        <v>515</v>
      </c>
      <c r="P11" s="158" t="s">
        <v>908</v>
      </c>
      <c r="Q11" s="158" t="s">
        <v>1352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1045</v>
      </c>
      <c r="E12" s="158" t="s">
        <v>551</v>
      </c>
      <c r="F12" s="158" t="s">
        <v>526</v>
      </c>
      <c r="G12" s="158" t="s">
        <v>1046</v>
      </c>
      <c r="H12" s="158" t="s">
        <v>1046</v>
      </c>
      <c r="I12" s="158" t="s">
        <v>1057</v>
      </c>
      <c r="J12" s="159" t="s">
        <v>757</v>
      </c>
      <c r="K12" s="158" t="s">
        <v>1205</v>
      </c>
      <c r="L12" s="158" t="s">
        <v>1046</v>
      </c>
      <c r="M12" s="158" t="s">
        <v>526</v>
      </c>
      <c r="N12" s="158" t="s">
        <v>763</v>
      </c>
      <c r="O12" s="158" t="s">
        <v>446</v>
      </c>
      <c r="P12" s="158" t="s">
        <v>909</v>
      </c>
      <c r="Q12" s="158" t="s">
        <v>1353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1045</v>
      </c>
      <c r="E13" s="158" t="s">
        <v>551</v>
      </c>
      <c r="F13" s="158" t="s">
        <v>526</v>
      </c>
      <c r="G13" s="158" t="s">
        <v>1046</v>
      </c>
      <c r="H13" s="158" t="s">
        <v>1046</v>
      </c>
      <c r="I13" s="158" t="s">
        <v>1058</v>
      </c>
      <c r="J13" s="159" t="s">
        <v>758</v>
      </c>
      <c r="K13" s="158" t="s">
        <v>1206</v>
      </c>
      <c r="L13" s="158" t="s">
        <v>1046</v>
      </c>
      <c r="M13" s="158" t="s">
        <v>526</v>
      </c>
      <c r="N13" s="158" t="s">
        <v>763</v>
      </c>
      <c r="O13" s="158" t="s">
        <v>278</v>
      </c>
      <c r="P13" s="158" t="s">
        <v>910</v>
      </c>
      <c r="Q13" s="158" t="s">
        <v>1354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1045</v>
      </c>
      <c r="E14" s="158" t="s">
        <v>551</v>
      </c>
      <c r="F14" s="158" t="s">
        <v>526</v>
      </c>
      <c r="G14" s="158" t="s">
        <v>1046</v>
      </c>
      <c r="H14" s="158" t="s">
        <v>1046</v>
      </c>
      <c r="I14" s="158" t="s">
        <v>1059</v>
      </c>
      <c r="J14" s="159" t="s">
        <v>759</v>
      </c>
      <c r="K14" s="158" t="s">
        <v>1207</v>
      </c>
      <c r="L14" s="158" t="s">
        <v>1046</v>
      </c>
      <c r="M14" s="158" t="s">
        <v>526</v>
      </c>
      <c r="N14" s="158" t="s">
        <v>763</v>
      </c>
      <c r="O14" s="158" t="s">
        <v>399</v>
      </c>
      <c r="P14" s="158" t="s">
        <v>911</v>
      </c>
      <c r="Q14" s="158" t="s">
        <v>1355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1045</v>
      </c>
      <c r="E15" s="158" t="s">
        <v>551</v>
      </c>
      <c r="F15" s="158" t="s">
        <v>526</v>
      </c>
      <c r="G15" s="158" t="s">
        <v>1046</v>
      </c>
      <c r="H15" s="158" t="s">
        <v>1046</v>
      </c>
      <c r="I15" s="158" t="s">
        <v>1060</v>
      </c>
      <c r="J15" s="159" t="s">
        <v>760</v>
      </c>
      <c r="K15" s="158" t="s">
        <v>1208</v>
      </c>
      <c r="L15" s="158" t="s">
        <v>1046</v>
      </c>
      <c r="M15" s="158" t="s">
        <v>526</v>
      </c>
      <c r="N15" s="158" t="s">
        <v>763</v>
      </c>
      <c r="O15" s="158" t="s">
        <v>527</v>
      </c>
      <c r="P15" s="158" t="s">
        <v>912</v>
      </c>
      <c r="Q15" s="158" t="s">
        <v>1356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1045</v>
      </c>
      <c r="E16" s="158" t="s">
        <v>551</v>
      </c>
      <c r="F16" s="158" t="s">
        <v>526</v>
      </c>
      <c r="G16" s="158" t="s">
        <v>1046</v>
      </c>
      <c r="H16" s="158" t="s">
        <v>1046</v>
      </c>
      <c r="I16" s="158" t="s">
        <v>1061</v>
      </c>
      <c r="J16" s="159" t="s">
        <v>761</v>
      </c>
      <c r="K16" s="158" t="s">
        <v>1209</v>
      </c>
      <c r="L16" s="158" t="s">
        <v>1046</v>
      </c>
      <c r="M16" s="158" t="s">
        <v>526</v>
      </c>
      <c r="N16" s="158" t="s">
        <v>763</v>
      </c>
      <c r="O16" s="158" t="s">
        <v>525</v>
      </c>
      <c r="P16" s="158" t="s">
        <v>913</v>
      </c>
      <c r="Q16" s="158" t="s">
        <v>1357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1045</v>
      </c>
      <c r="E17" s="158" t="s">
        <v>551</v>
      </c>
      <c r="F17" s="158" t="s">
        <v>526</v>
      </c>
      <c r="G17" s="158" t="s">
        <v>1046</v>
      </c>
      <c r="H17" s="158" t="s">
        <v>1046</v>
      </c>
      <c r="I17" s="158" t="s">
        <v>1062</v>
      </c>
      <c r="J17" s="159" t="s">
        <v>762</v>
      </c>
      <c r="K17" s="158" t="s">
        <v>1210</v>
      </c>
      <c r="L17" s="158" t="s">
        <v>1046</v>
      </c>
      <c r="M17" s="158" t="s">
        <v>526</v>
      </c>
      <c r="N17" s="158" t="s">
        <v>763</v>
      </c>
      <c r="O17" s="158" t="s">
        <v>400</v>
      </c>
      <c r="P17" s="158" t="s">
        <v>914</v>
      </c>
      <c r="Q17" s="158" t="s">
        <v>1358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1045</v>
      </c>
      <c r="E18" s="158" t="s">
        <v>551</v>
      </c>
      <c r="F18" s="158" t="s">
        <v>526</v>
      </c>
      <c r="G18" s="158" t="s">
        <v>1046</v>
      </c>
      <c r="H18" s="158" t="s">
        <v>1046</v>
      </c>
      <c r="I18" s="158" t="s">
        <v>1063</v>
      </c>
      <c r="J18" s="159" t="s">
        <v>622</v>
      </c>
      <c r="K18" s="158" t="s">
        <v>1211</v>
      </c>
      <c r="L18" s="158" t="s">
        <v>1046</v>
      </c>
      <c r="M18" s="158" t="s">
        <v>526</v>
      </c>
      <c r="N18" s="158" t="s">
        <v>763</v>
      </c>
      <c r="O18" s="158" t="s">
        <v>404</v>
      </c>
      <c r="P18" s="158" t="s">
        <v>774</v>
      </c>
      <c r="Q18" s="158" t="s">
        <v>1359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1045</v>
      </c>
      <c r="E19" s="158" t="s">
        <v>551</v>
      </c>
      <c r="F19" s="158" t="s">
        <v>526</v>
      </c>
      <c r="G19" s="158" t="s">
        <v>1046</v>
      </c>
      <c r="H19" s="158" t="s">
        <v>1046</v>
      </c>
      <c r="I19" s="158" t="s">
        <v>1064</v>
      </c>
      <c r="J19" s="159" t="s">
        <v>719</v>
      </c>
      <c r="K19" s="158" t="s">
        <v>1212</v>
      </c>
      <c r="L19" s="158" t="s">
        <v>1046</v>
      </c>
      <c r="M19" s="158" t="s">
        <v>526</v>
      </c>
      <c r="N19" s="158" t="s">
        <v>763</v>
      </c>
      <c r="O19" s="158" t="s">
        <v>394</v>
      </c>
      <c r="P19" s="158" t="s">
        <v>871</v>
      </c>
      <c r="Q19" s="158" t="s">
        <v>1360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1045</v>
      </c>
      <c r="E20" s="158" t="s">
        <v>551</v>
      </c>
      <c r="F20" s="158" t="s">
        <v>526</v>
      </c>
      <c r="G20" s="158" t="s">
        <v>1046</v>
      </c>
      <c r="H20" s="158" t="s">
        <v>1046</v>
      </c>
      <c r="I20" s="158" t="s">
        <v>1065</v>
      </c>
      <c r="J20" s="159" t="s">
        <v>624</v>
      </c>
      <c r="K20" s="158" t="s">
        <v>1213</v>
      </c>
      <c r="L20" s="158" t="s">
        <v>1046</v>
      </c>
      <c r="M20" s="158" t="s">
        <v>526</v>
      </c>
      <c r="N20" s="158" t="s">
        <v>763</v>
      </c>
      <c r="O20" s="158" t="s">
        <v>478</v>
      </c>
      <c r="P20" s="158" t="s">
        <v>776</v>
      </c>
      <c r="Q20" s="158" t="s">
        <v>1361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1045</v>
      </c>
      <c r="E21" s="158" t="s">
        <v>551</v>
      </c>
      <c r="F21" s="158" t="s">
        <v>526</v>
      </c>
      <c r="G21" s="158" t="s">
        <v>1046</v>
      </c>
      <c r="H21" s="158" t="s">
        <v>1046</v>
      </c>
      <c r="I21" s="158" t="s">
        <v>1066</v>
      </c>
      <c r="J21" s="159" t="s">
        <v>625</v>
      </c>
      <c r="K21" s="158" t="s">
        <v>1214</v>
      </c>
      <c r="L21" s="158" t="s">
        <v>1046</v>
      </c>
      <c r="M21" s="158" t="s">
        <v>526</v>
      </c>
      <c r="N21" s="158" t="s">
        <v>763</v>
      </c>
      <c r="O21" s="158" t="s">
        <v>459</v>
      </c>
      <c r="P21" s="158" t="s">
        <v>777</v>
      </c>
      <c r="Q21" s="158" t="s">
        <v>1362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1045</v>
      </c>
      <c r="E22" s="158" t="s">
        <v>551</v>
      </c>
      <c r="F22" s="158" t="s">
        <v>526</v>
      </c>
      <c r="G22" s="158" t="s">
        <v>1046</v>
      </c>
      <c r="H22" s="158" t="s">
        <v>1046</v>
      </c>
      <c r="I22" s="158" t="s">
        <v>1067</v>
      </c>
      <c r="J22" s="159" t="s">
        <v>626</v>
      </c>
      <c r="K22" s="158" t="s">
        <v>1215</v>
      </c>
      <c r="L22" s="158" t="s">
        <v>1046</v>
      </c>
      <c r="M22" s="158" t="s">
        <v>526</v>
      </c>
      <c r="N22" s="158" t="s">
        <v>763</v>
      </c>
      <c r="O22" s="158" t="s">
        <v>764</v>
      </c>
      <c r="P22" s="158" t="s">
        <v>778</v>
      </c>
      <c r="Q22" s="158" t="s">
        <v>1363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1045</v>
      </c>
      <c r="E23" s="158" t="s">
        <v>551</v>
      </c>
      <c r="F23" s="158" t="s">
        <v>526</v>
      </c>
      <c r="G23" s="158" t="s">
        <v>1046</v>
      </c>
      <c r="H23" s="158" t="s">
        <v>1046</v>
      </c>
      <c r="I23" s="158" t="s">
        <v>1068</v>
      </c>
      <c r="J23" s="159" t="s">
        <v>627</v>
      </c>
      <c r="K23" s="158" t="s">
        <v>1216</v>
      </c>
      <c r="L23" s="158" t="s">
        <v>1046</v>
      </c>
      <c r="M23" s="158" t="s">
        <v>526</v>
      </c>
      <c r="N23" s="158" t="s">
        <v>763</v>
      </c>
      <c r="O23" s="158" t="s">
        <v>434</v>
      </c>
      <c r="P23" s="158" t="s">
        <v>779</v>
      </c>
      <c r="Q23" s="158" t="s">
        <v>1364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1045</v>
      </c>
      <c r="E24" s="158" t="s">
        <v>551</v>
      </c>
      <c r="F24" s="158" t="s">
        <v>526</v>
      </c>
      <c r="G24" s="158" t="s">
        <v>1046</v>
      </c>
      <c r="H24" s="158" t="s">
        <v>1046</v>
      </c>
      <c r="I24" s="158" t="s">
        <v>1069</v>
      </c>
      <c r="J24" s="159" t="s">
        <v>628</v>
      </c>
      <c r="K24" s="158" t="s">
        <v>1217</v>
      </c>
      <c r="L24" s="158" t="s">
        <v>1046</v>
      </c>
      <c r="M24" s="158" t="s">
        <v>526</v>
      </c>
      <c r="N24" s="158" t="s">
        <v>763</v>
      </c>
      <c r="O24" s="158" t="s">
        <v>430</v>
      </c>
      <c r="P24" s="158" t="s">
        <v>780</v>
      </c>
      <c r="Q24" s="158" t="s">
        <v>1365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1045</v>
      </c>
      <c r="E25" s="158" t="s">
        <v>551</v>
      </c>
      <c r="F25" s="158" t="s">
        <v>526</v>
      </c>
      <c r="G25" s="158" t="s">
        <v>1046</v>
      </c>
      <c r="H25" s="158" t="s">
        <v>1046</v>
      </c>
      <c r="I25" s="158" t="s">
        <v>1070</v>
      </c>
      <c r="J25" s="159" t="s">
        <v>629</v>
      </c>
      <c r="K25" s="158" t="s">
        <v>1218</v>
      </c>
      <c r="L25" s="158" t="s">
        <v>1046</v>
      </c>
      <c r="M25" s="158" t="s">
        <v>526</v>
      </c>
      <c r="N25" s="158" t="s">
        <v>763</v>
      </c>
      <c r="O25" s="158" t="s">
        <v>496</v>
      </c>
      <c r="P25" s="158" t="s">
        <v>781</v>
      </c>
      <c r="Q25" s="158" t="s">
        <v>1366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1045</v>
      </c>
      <c r="E26" s="158" t="s">
        <v>551</v>
      </c>
      <c r="F26" s="158" t="s">
        <v>526</v>
      </c>
      <c r="G26" s="158" t="s">
        <v>1046</v>
      </c>
      <c r="H26" s="158" t="s">
        <v>1046</v>
      </c>
      <c r="I26" s="158" t="s">
        <v>1071</v>
      </c>
      <c r="J26" s="159" t="s">
        <v>630</v>
      </c>
      <c r="K26" s="158" t="s">
        <v>1219</v>
      </c>
      <c r="L26" s="158" t="s">
        <v>1046</v>
      </c>
      <c r="M26" s="158" t="s">
        <v>526</v>
      </c>
      <c r="N26" s="158" t="s">
        <v>763</v>
      </c>
      <c r="O26" s="158" t="s">
        <v>414</v>
      </c>
      <c r="P26" s="158" t="s">
        <v>782</v>
      </c>
      <c r="Q26" s="158" t="s">
        <v>1367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1045</v>
      </c>
      <c r="E27" s="158" t="s">
        <v>551</v>
      </c>
      <c r="F27" s="158" t="s">
        <v>526</v>
      </c>
      <c r="G27" s="158" t="s">
        <v>1046</v>
      </c>
      <c r="H27" s="158" t="s">
        <v>1046</v>
      </c>
      <c r="I27" s="158" t="s">
        <v>1072</v>
      </c>
      <c r="J27" s="159" t="s">
        <v>631</v>
      </c>
      <c r="K27" s="158" t="s">
        <v>1220</v>
      </c>
      <c r="L27" s="158" t="s">
        <v>1046</v>
      </c>
      <c r="M27" s="158" t="s">
        <v>526</v>
      </c>
      <c r="N27" s="158" t="s">
        <v>763</v>
      </c>
      <c r="O27" s="158" t="s">
        <v>487</v>
      </c>
      <c r="P27" s="158" t="s">
        <v>783</v>
      </c>
      <c r="Q27" s="158" t="s">
        <v>1368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1045</v>
      </c>
      <c r="E28" s="158" t="s">
        <v>551</v>
      </c>
      <c r="F28" s="158" t="s">
        <v>526</v>
      </c>
      <c r="G28" s="158" t="s">
        <v>1046</v>
      </c>
      <c r="H28" s="158" t="s">
        <v>1046</v>
      </c>
      <c r="I28" s="158" t="s">
        <v>1073</v>
      </c>
      <c r="J28" s="159" t="s">
        <v>632</v>
      </c>
      <c r="K28" s="158" t="s">
        <v>1221</v>
      </c>
      <c r="L28" s="158" t="s">
        <v>1046</v>
      </c>
      <c r="M28" s="158" t="s">
        <v>526</v>
      </c>
      <c r="N28" s="158" t="s">
        <v>763</v>
      </c>
      <c r="O28" s="158" t="s">
        <v>422</v>
      </c>
      <c r="P28" s="158" t="s">
        <v>784</v>
      </c>
      <c r="Q28" s="158" t="s">
        <v>1369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1045</v>
      </c>
      <c r="E29" s="158" t="s">
        <v>551</v>
      </c>
      <c r="F29" s="158" t="s">
        <v>526</v>
      </c>
      <c r="G29" s="158" t="s">
        <v>1046</v>
      </c>
      <c r="H29" s="158" t="s">
        <v>1046</v>
      </c>
      <c r="I29" s="158" t="s">
        <v>1074</v>
      </c>
      <c r="J29" s="159" t="s">
        <v>633</v>
      </c>
      <c r="K29" s="158" t="s">
        <v>1222</v>
      </c>
      <c r="L29" s="158" t="s">
        <v>1046</v>
      </c>
      <c r="M29" s="158" t="s">
        <v>526</v>
      </c>
      <c r="N29" s="158" t="s">
        <v>763</v>
      </c>
      <c r="O29" s="158" t="s">
        <v>395</v>
      </c>
      <c r="P29" s="158" t="s">
        <v>785</v>
      </c>
      <c r="Q29" s="158" t="s">
        <v>1370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1045</v>
      </c>
      <c r="E30" s="158" t="s">
        <v>551</v>
      </c>
      <c r="F30" s="158" t="s">
        <v>526</v>
      </c>
      <c r="G30" s="158" t="s">
        <v>1046</v>
      </c>
      <c r="H30" s="158" t="s">
        <v>1046</v>
      </c>
      <c r="I30" s="158" t="s">
        <v>1075</v>
      </c>
      <c r="J30" s="159" t="s">
        <v>634</v>
      </c>
      <c r="K30" s="158" t="s">
        <v>1223</v>
      </c>
      <c r="L30" s="158" t="s">
        <v>1046</v>
      </c>
      <c r="M30" s="158" t="s">
        <v>526</v>
      </c>
      <c r="N30" s="158" t="s">
        <v>763</v>
      </c>
      <c r="O30" s="158" t="s">
        <v>519</v>
      </c>
      <c r="P30" s="158" t="s">
        <v>786</v>
      </c>
      <c r="Q30" s="158" t="s">
        <v>1371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1045</v>
      </c>
      <c r="E31" s="158" t="s">
        <v>551</v>
      </c>
      <c r="F31" s="158" t="s">
        <v>526</v>
      </c>
      <c r="G31" s="158" t="s">
        <v>1046</v>
      </c>
      <c r="H31" s="158" t="s">
        <v>1046</v>
      </c>
      <c r="I31" s="158" t="s">
        <v>1076</v>
      </c>
      <c r="J31" s="159" t="s">
        <v>635</v>
      </c>
      <c r="K31" s="158" t="s">
        <v>1224</v>
      </c>
      <c r="L31" s="158" t="s">
        <v>1046</v>
      </c>
      <c r="M31" s="158" t="s">
        <v>526</v>
      </c>
      <c r="N31" s="158" t="s">
        <v>763</v>
      </c>
      <c r="O31" s="158" t="s">
        <v>428</v>
      </c>
      <c r="P31" s="158" t="s">
        <v>787</v>
      </c>
      <c r="Q31" s="158" t="s">
        <v>1372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1045</v>
      </c>
      <c r="E32" s="158" t="s">
        <v>551</v>
      </c>
      <c r="F32" s="158" t="s">
        <v>526</v>
      </c>
      <c r="G32" s="158" t="s">
        <v>1046</v>
      </c>
      <c r="H32" s="158" t="s">
        <v>1046</v>
      </c>
      <c r="I32" s="158" t="s">
        <v>1077</v>
      </c>
      <c r="J32" s="159" t="s">
        <v>636</v>
      </c>
      <c r="K32" s="158" t="s">
        <v>1225</v>
      </c>
      <c r="L32" s="158" t="s">
        <v>1046</v>
      </c>
      <c r="M32" s="158" t="s">
        <v>526</v>
      </c>
      <c r="N32" s="158" t="s">
        <v>763</v>
      </c>
      <c r="O32" s="158" t="s">
        <v>493</v>
      </c>
      <c r="P32" s="158" t="s">
        <v>788</v>
      </c>
      <c r="Q32" s="158" t="s">
        <v>1373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1045</v>
      </c>
      <c r="E33" s="158" t="s">
        <v>551</v>
      </c>
      <c r="F33" s="158" t="s">
        <v>526</v>
      </c>
      <c r="G33" s="158" t="s">
        <v>1046</v>
      </c>
      <c r="H33" s="158" t="s">
        <v>1046</v>
      </c>
      <c r="I33" s="158" t="s">
        <v>1078</v>
      </c>
      <c r="J33" s="159" t="s">
        <v>637</v>
      </c>
      <c r="K33" s="158" t="s">
        <v>1226</v>
      </c>
      <c r="L33" s="158" t="s">
        <v>1046</v>
      </c>
      <c r="M33" s="158" t="s">
        <v>526</v>
      </c>
      <c r="N33" s="158" t="s">
        <v>763</v>
      </c>
      <c r="O33" s="158" t="s">
        <v>501</v>
      </c>
      <c r="P33" s="158" t="s">
        <v>789</v>
      </c>
      <c r="Q33" s="158" t="s">
        <v>1374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1045</v>
      </c>
      <c r="E34" s="158" t="s">
        <v>551</v>
      </c>
      <c r="F34" s="158" t="s">
        <v>526</v>
      </c>
      <c r="G34" s="158" t="s">
        <v>1046</v>
      </c>
      <c r="H34" s="158" t="s">
        <v>1046</v>
      </c>
      <c r="I34" s="158" t="s">
        <v>1079</v>
      </c>
      <c r="J34" s="159" t="s">
        <v>638</v>
      </c>
      <c r="K34" s="158" t="s">
        <v>1227</v>
      </c>
      <c r="L34" s="158" t="s">
        <v>1046</v>
      </c>
      <c r="M34" s="158" t="s">
        <v>526</v>
      </c>
      <c r="N34" s="158" t="s">
        <v>763</v>
      </c>
      <c r="O34" s="158" t="s">
        <v>516</v>
      </c>
      <c r="P34" s="158" t="s">
        <v>790</v>
      </c>
      <c r="Q34" s="158" t="s">
        <v>1375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1045</v>
      </c>
      <c r="E35" s="158" t="s">
        <v>551</v>
      </c>
      <c r="F35" s="158" t="s">
        <v>526</v>
      </c>
      <c r="G35" s="158" t="s">
        <v>1046</v>
      </c>
      <c r="H35" s="158" t="s">
        <v>1046</v>
      </c>
      <c r="I35" s="158" t="s">
        <v>1080</v>
      </c>
      <c r="J35" s="159" t="s">
        <v>639</v>
      </c>
      <c r="K35" s="158" t="s">
        <v>1228</v>
      </c>
      <c r="L35" s="158" t="s">
        <v>1046</v>
      </c>
      <c r="M35" s="158" t="s">
        <v>526</v>
      </c>
      <c r="N35" s="158" t="s">
        <v>763</v>
      </c>
      <c r="O35" s="158" t="s">
        <v>441</v>
      </c>
      <c r="P35" s="158" t="s">
        <v>791</v>
      </c>
      <c r="Q35" s="158" t="s">
        <v>1376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1045</v>
      </c>
      <c r="E36" s="158" t="s">
        <v>551</v>
      </c>
      <c r="F36" s="158" t="s">
        <v>526</v>
      </c>
      <c r="G36" s="158" t="s">
        <v>1046</v>
      </c>
      <c r="H36" s="158" t="s">
        <v>1046</v>
      </c>
      <c r="I36" s="158" t="s">
        <v>1081</v>
      </c>
      <c r="J36" s="159" t="s">
        <v>640</v>
      </c>
      <c r="K36" s="158" t="s">
        <v>1229</v>
      </c>
      <c r="L36" s="158" t="s">
        <v>1046</v>
      </c>
      <c r="M36" s="158" t="s">
        <v>526</v>
      </c>
      <c r="N36" s="158" t="s">
        <v>763</v>
      </c>
      <c r="O36" s="158" t="s">
        <v>494</v>
      </c>
      <c r="P36" s="158" t="s">
        <v>792</v>
      </c>
      <c r="Q36" s="158" t="s">
        <v>1377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1045</v>
      </c>
      <c r="E37" s="158" t="s">
        <v>551</v>
      </c>
      <c r="F37" s="158" t="s">
        <v>526</v>
      </c>
      <c r="G37" s="158" t="s">
        <v>1046</v>
      </c>
      <c r="H37" s="158" t="s">
        <v>1046</v>
      </c>
      <c r="I37" s="158" t="s">
        <v>1082</v>
      </c>
      <c r="J37" s="159" t="s">
        <v>641</v>
      </c>
      <c r="K37" s="158" t="s">
        <v>1230</v>
      </c>
      <c r="L37" s="158" t="s">
        <v>1046</v>
      </c>
      <c r="M37" s="158" t="s">
        <v>526</v>
      </c>
      <c r="N37" s="158" t="s">
        <v>763</v>
      </c>
      <c r="O37" s="158" t="s">
        <v>439</v>
      </c>
      <c r="P37" s="158" t="s">
        <v>793</v>
      </c>
      <c r="Q37" s="158" t="s">
        <v>1378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1045</v>
      </c>
      <c r="E38" s="158" t="s">
        <v>551</v>
      </c>
      <c r="F38" s="158" t="s">
        <v>526</v>
      </c>
      <c r="G38" s="158" t="s">
        <v>1046</v>
      </c>
      <c r="H38" s="158" t="s">
        <v>1046</v>
      </c>
      <c r="I38" s="158" t="s">
        <v>1083</v>
      </c>
      <c r="J38" s="159" t="s">
        <v>642</v>
      </c>
      <c r="K38" s="158" t="s">
        <v>1231</v>
      </c>
      <c r="L38" s="158" t="s">
        <v>1046</v>
      </c>
      <c r="M38" s="158" t="s">
        <v>526</v>
      </c>
      <c r="N38" s="158" t="s">
        <v>763</v>
      </c>
      <c r="O38" s="158" t="s">
        <v>452</v>
      </c>
      <c r="P38" s="158" t="s">
        <v>794</v>
      </c>
      <c r="Q38" s="158" t="s">
        <v>1379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1045</v>
      </c>
      <c r="E39" s="158" t="s">
        <v>551</v>
      </c>
      <c r="F39" s="158" t="s">
        <v>526</v>
      </c>
      <c r="G39" s="158" t="s">
        <v>1046</v>
      </c>
      <c r="H39" s="158" t="s">
        <v>1046</v>
      </c>
      <c r="I39" s="158" t="s">
        <v>1084</v>
      </c>
      <c r="J39" s="159" t="s">
        <v>643</v>
      </c>
      <c r="K39" s="158" t="s">
        <v>1232</v>
      </c>
      <c r="L39" s="158" t="s">
        <v>1046</v>
      </c>
      <c r="M39" s="158" t="s">
        <v>526</v>
      </c>
      <c r="N39" s="158" t="s">
        <v>763</v>
      </c>
      <c r="O39" s="158" t="s">
        <v>479</v>
      </c>
      <c r="P39" s="158" t="s">
        <v>795</v>
      </c>
      <c r="Q39" s="158" t="s">
        <v>1380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1045</v>
      </c>
      <c r="E40" s="158" t="s">
        <v>551</v>
      </c>
      <c r="F40" s="158" t="s">
        <v>526</v>
      </c>
      <c r="G40" s="158" t="s">
        <v>1046</v>
      </c>
      <c r="H40" s="158" t="s">
        <v>1046</v>
      </c>
      <c r="I40" s="158" t="s">
        <v>1085</v>
      </c>
      <c r="J40" s="159" t="s">
        <v>644</v>
      </c>
      <c r="K40" s="158" t="s">
        <v>1233</v>
      </c>
      <c r="L40" s="158" t="s">
        <v>1046</v>
      </c>
      <c r="M40" s="158" t="s">
        <v>526</v>
      </c>
      <c r="N40" s="158" t="s">
        <v>763</v>
      </c>
      <c r="O40" s="158" t="s">
        <v>461</v>
      </c>
      <c r="P40" s="158" t="s">
        <v>796</v>
      </c>
      <c r="Q40" s="158" t="s">
        <v>1381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1045</v>
      </c>
      <c r="E41" s="158" t="s">
        <v>551</v>
      </c>
      <c r="F41" s="158" t="s">
        <v>526</v>
      </c>
      <c r="G41" s="158" t="s">
        <v>1046</v>
      </c>
      <c r="H41" s="158" t="s">
        <v>1046</v>
      </c>
      <c r="I41" s="158" t="s">
        <v>1086</v>
      </c>
      <c r="J41" s="159" t="s">
        <v>645</v>
      </c>
      <c r="K41" s="158" t="s">
        <v>1234</v>
      </c>
      <c r="L41" s="158" t="s">
        <v>1046</v>
      </c>
      <c r="M41" s="158" t="s">
        <v>526</v>
      </c>
      <c r="N41" s="158" t="s">
        <v>763</v>
      </c>
      <c r="O41" s="158" t="s">
        <v>497</v>
      </c>
      <c r="P41" s="158" t="s">
        <v>797</v>
      </c>
      <c r="Q41" s="158" t="s">
        <v>1382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1045</v>
      </c>
      <c r="E42" s="158" t="s">
        <v>551</v>
      </c>
      <c r="F42" s="158" t="s">
        <v>526</v>
      </c>
      <c r="G42" s="158" t="s">
        <v>1046</v>
      </c>
      <c r="H42" s="158" t="s">
        <v>1046</v>
      </c>
      <c r="I42" s="158" t="s">
        <v>1087</v>
      </c>
      <c r="J42" s="159" t="s">
        <v>646</v>
      </c>
      <c r="K42" s="158" t="s">
        <v>1235</v>
      </c>
      <c r="L42" s="158" t="s">
        <v>1046</v>
      </c>
      <c r="M42" s="158" t="s">
        <v>526</v>
      </c>
      <c r="N42" s="158" t="s">
        <v>763</v>
      </c>
      <c r="O42" s="158" t="s">
        <v>475</v>
      </c>
      <c r="P42" s="158" t="s">
        <v>798</v>
      </c>
      <c r="Q42" s="158" t="s">
        <v>1383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1045</v>
      </c>
      <c r="E43" s="158" t="s">
        <v>551</v>
      </c>
      <c r="F43" s="158" t="s">
        <v>526</v>
      </c>
      <c r="G43" s="158" t="s">
        <v>1046</v>
      </c>
      <c r="H43" s="158" t="s">
        <v>1046</v>
      </c>
      <c r="I43" s="158" t="s">
        <v>1088</v>
      </c>
      <c r="J43" s="159" t="s">
        <v>647</v>
      </c>
      <c r="K43" s="158" t="s">
        <v>1236</v>
      </c>
      <c r="L43" s="158" t="s">
        <v>1046</v>
      </c>
      <c r="M43" s="158" t="s">
        <v>526</v>
      </c>
      <c r="N43" s="158" t="s">
        <v>763</v>
      </c>
      <c r="O43" s="158" t="s">
        <v>467</v>
      </c>
      <c r="P43" s="158" t="s">
        <v>799</v>
      </c>
      <c r="Q43" s="158" t="s">
        <v>1384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1045</v>
      </c>
      <c r="E44" s="158" t="s">
        <v>551</v>
      </c>
      <c r="F44" s="158" t="s">
        <v>526</v>
      </c>
      <c r="G44" s="158" t="s">
        <v>1046</v>
      </c>
      <c r="H44" s="158" t="s">
        <v>1046</v>
      </c>
      <c r="I44" s="158" t="s">
        <v>1089</v>
      </c>
      <c r="J44" s="159" t="s">
        <v>648</v>
      </c>
      <c r="K44" s="158" t="s">
        <v>1237</v>
      </c>
      <c r="L44" s="158" t="s">
        <v>1046</v>
      </c>
      <c r="M44" s="158" t="s">
        <v>526</v>
      </c>
      <c r="N44" s="158" t="s">
        <v>763</v>
      </c>
      <c r="O44" s="158" t="s">
        <v>442</v>
      </c>
      <c r="P44" s="158" t="s">
        <v>800</v>
      </c>
      <c r="Q44" s="158" t="s">
        <v>1385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1045</v>
      </c>
      <c r="E45" s="158" t="s">
        <v>551</v>
      </c>
      <c r="F45" s="158" t="s">
        <v>526</v>
      </c>
      <c r="G45" s="158" t="s">
        <v>1046</v>
      </c>
      <c r="H45" s="158" t="s">
        <v>1046</v>
      </c>
      <c r="I45" s="158" t="s">
        <v>1090</v>
      </c>
      <c r="J45" s="159" t="s">
        <v>649</v>
      </c>
      <c r="K45" s="158" t="s">
        <v>1238</v>
      </c>
      <c r="L45" s="158" t="s">
        <v>1046</v>
      </c>
      <c r="M45" s="158" t="s">
        <v>526</v>
      </c>
      <c r="N45" s="158" t="s">
        <v>763</v>
      </c>
      <c r="O45" s="158" t="s">
        <v>460</v>
      </c>
      <c r="P45" s="158" t="s">
        <v>801</v>
      </c>
      <c r="Q45" s="158" t="s">
        <v>1386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1045</v>
      </c>
      <c r="E46" s="158" t="s">
        <v>551</v>
      </c>
      <c r="F46" s="158" t="s">
        <v>526</v>
      </c>
      <c r="G46" s="158" t="s">
        <v>1046</v>
      </c>
      <c r="H46" s="158" t="s">
        <v>1046</v>
      </c>
      <c r="I46" s="158" t="s">
        <v>1091</v>
      </c>
      <c r="J46" s="159" t="s">
        <v>650</v>
      </c>
      <c r="K46" s="158" t="s">
        <v>1239</v>
      </c>
      <c r="L46" s="158" t="s">
        <v>1046</v>
      </c>
      <c r="M46" s="158" t="s">
        <v>526</v>
      </c>
      <c r="N46" s="158" t="s">
        <v>763</v>
      </c>
      <c r="O46" s="158" t="s">
        <v>473</v>
      </c>
      <c r="P46" s="158" t="s">
        <v>802</v>
      </c>
      <c r="Q46" s="158" t="s">
        <v>1387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1045</v>
      </c>
      <c r="E47" s="158" t="s">
        <v>551</v>
      </c>
      <c r="F47" s="158" t="s">
        <v>526</v>
      </c>
      <c r="G47" s="158" t="s">
        <v>1046</v>
      </c>
      <c r="H47" s="158" t="s">
        <v>1046</v>
      </c>
      <c r="I47" s="158" t="s">
        <v>1092</v>
      </c>
      <c r="J47" s="159" t="s">
        <v>651</v>
      </c>
      <c r="K47" s="158" t="s">
        <v>1240</v>
      </c>
      <c r="L47" s="158" t="s">
        <v>1046</v>
      </c>
      <c r="M47" s="158" t="s">
        <v>526</v>
      </c>
      <c r="N47" s="158" t="s">
        <v>763</v>
      </c>
      <c r="O47" s="158" t="s">
        <v>509</v>
      </c>
      <c r="P47" s="158" t="s">
        <v>803</v>
      </c>
      <c r="Q47" s="158" t="s">
        <v>1388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1045</v>
      </c>
      <c r="E48" s="158" t="s">
        <v>551</v>
      </c>
      <c r="F48" s="158" t="s">
        <v>526</v>
      </c>
      <c r="G48" s="158" t="s">
        <v>1046</v>
      </c>
      <c r="H48" s="158" t="s">
        <v>1046</v>
      </c>
      <c r="I48" s="158" t="s">
        <v>1093</v>
      </c>
      <c r="J48" s="159" t="s">
        <v>652</v>
      </c>
      <c r="K48" s="158" t="s">
        <v>1241</v>
      </c>
      <c r="L48" s="158" t="s">
        <v>1046</v>
      </c>
      <c r="M48" s="158" t="s">
        <v>526</v>
      </c>
      <c r="N48" s="158" t="s">
        <v>763</v>
      </c>
      <c r="O48" s="158" t="s">
        <v>482</v>
      </c>
      <c r="P48" s="158" t="s">
        <v>804</v>
      </c>
      <c r="Q48" s="158" t="s">
        <v>1389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1045</v>
      </c>
      <c r="E49" s="158" t="s">
        <v>551</v>
      </c>
      <c r="F49" s="158" t="s">
        <v>526</v>
      </c>
      <c r="G49" s="158" t="s">
        <v>1046</v>
      </c>
      <c r="H49" s="158" t="s">
        <v>1046</v>
      </c>
      <c r="I49" s="158" t="s">
        <v>1094</v>
      </c>
      <c r="J49" s="159" t="s">
        <v>653</v>
      </c>
      <c r="K49" s="158" t="s">
        <v>1242</v>
      </c>
      <c r="L49" s="158" t="s">
        <v>1046</v>
      </c>
      <c r="M49" s="158" t="s">
        <v>526</v>
      </c>
      <c r="N49" s="158" t="s">
        <v>763</v>
      </c>
      <c r="O49" s="158" t="s">
        <v>385</v>
      </c>
      <c r="P49" s="158" t="s">
        <v>805</v>
      </c>
      <c r="Q49" s="158" t="s">
        <v>1390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1045</v>
      </c>
      <c r="E50" s="158" t="s">
        <v>551</v>
      </c>
      <c r="F50" s="158" t="s">
        <v>526</v>
      </c>
      <c r="G50" s="158" t="s">
        <v>1046</v>
      </c>
      <c r="H50" s="158" t="s">
        <v>1046</v>
      </c>
      <c r="I50" s="158" t="s">
        <v>1095</v>
      </c>
      <c r="J50" s="159" t="s">
        <v>654</v>
      </c>
      <c r="K50" s="158" t="s">
        <v>1243</v>
      </c>
      <c r="L50" s="158" t="s">
        <v>1046</v>
      </c>
      <c r="M50" s="158" t="s">
        <v>526</v>
      </c>
      <c r="N50" s="158" t="s">
        <v>763</v>
      </c>
      <c r="O50" s="158" t="s">
        <v>440</v>
      </c>
      <c r="P50" s="158" t="s">
        <v>806</v>
      </c>
      <c r="Q50" s="158" t="s">
        <v>1391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1045</v>
      </c>
      <c r="E51" s="158" t="s">
        <v>551</v>
      </c>
      <c r="F51" s="158" t="s">
        <v>526</v>
      </c>
      <c r="G51" s="158" t="s">
        <v>1046</v>
      </c>
      <c r="H51" s="158" t="s">
        <v>1046</v>
      </c>
      <c r="I51" s="158" t="s">
        <v>1096</v>
      </c>
      <c r="J51" s="159" t="s">
        <v>655</v>
      </c>
      <c r="K51" s="158" t="s">
        <v>1244</v>
      </c>
      <c r="L51" s="158" t="s">
        <v>1046</v>
      </c>
      <c r="M51" s="158" t="s">
        <v>526</v>
      </c>
      <c r="N51" s="158" t="s">
        <v>763</v>
      </c>
      <c r="O51" s="158" t="s">
        <v>512</v>
      </c>
      <c r="P51" s="158" t="s">
        <v>807</v>
      </c>
      <c r="Q51" s="158" t="s">
        <v>1392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1045</v>
      </c>
      <c r="E52" s="158" t="s">
        <v>551</v>
      </c>
      <c r="F52" s="158" t="s">
        <v>526</v>
      </c>
      <c r="G52" s="158" t="s">
        <v>1046</v>
      </c>
      <c r="H52" s="158" t="s">
        <v>1046</v>
      </c>
      <c r="I52" s="158" t="s">
        <v>1097</v>
      </c>
      <c r="J52" s="159" t="s">
        <v>656</v>
      </c>
      <c r="K52" s="158" t="s">
        <v>1245</v>
      </c>
      <c r="L52" s="158" t="s">
        <v>1046</v>
      </c>
      <c r="M52" s="158" t="s">
        <v>526</v>
      </c>
      <c r="N52" s="158" t="s">
        <v>763</v>
      </c>
      <c r="O52" s="158" t="s">
        <v>423</v>
      </c>
      <c r="P52" s="158" t="s">
        <v>808</v>
      </c>
      <c r="Q52" s="158" t="s">
        <v>1393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1045</v>
      </c>
      <c r="E53" s="158" t="s">
        <v>551</v>
      </c>
      <c r="F53" s="158" t="s">
        <v>526</v>
      </c>
      <c r="G53" s="158" t="s">
        <v>1046</v>
      </c>
      <c r="H53" s="158" t="s">
        <v>1046</v>
      </c>
      <c r="I53" s="158" t="s">
        <v>1098</v>
      </c>
      <c r="J53" s="159" t="s">
        <v>657</v>
      </c>
      <c r="K53" s="158" t="s">
        <v>1246</v>
      </c>
      <c r="L53" s="158" t="s">
        <v>1046</v>
      </c>
      <c r="M53" s="158" t="s">
        <v>526</v>
      </c>
      <c r="N53" s="158" t="s">
        <v>763</v>
      </c>
      <c r="O53" s="158" t="s">
        <v>455</v>
      </c>
      <c r="P53" s="158" t="s">
        <v>809</v>
      </c>
      <c r="Q53" s="158" t="s">
        <v>1394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1045</v>
      </c>
      <c r="E54" s="158" t="s">
        <v>551</v>
      </c>
      <c r="F54" s="158" t="s">
        <v>526</v>
      </c>
      <c r="G54" s="158" t="s">
        <v>1046</v>
      </c>
      <c r="H54" s="158" t="s">
        <v>1046</v>
      </c>
      <c r="I54" s="158" t="s">
        <v>1099</v>
      </c>
      <c r="J54" s="159" t="s">
        <v>658</v>
      </c>
      <c r="K54" s="158" t="s">
        <v>1247</v>
      </c>
      <c r="L54" s="158" t="s">
        <v>1046</v>
      </c>
      <c r="M54" s="158" t="s">
        <v>526</v>
      </c>
      <c r="N54" s="158" t="s">
        <v>763</v>
      </c>
      <c r="O54" s="158" t="s">
        <v>508</v>
      </c>
      <c r="P54" s="158" t="s">
        <v>810</v>
      </c>
      <c r="Q54" s="158" t="s">
        <v>1395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1045</v>
      </c>
      <c r="E55" s="158" t="s">
        <v>551</v>
      </c>
      <c r="F55" s="158" t="s">
        <v>526</v>
      </c>
      <c r="G55" s="158" t="s">
        <v>1046</v>
      </c>
      <c r="H55" s="158" t="s">
        <v>1046</v>
      </c>
      <c r="I55" s="158" t="s">
        <v>1100</v>
      </c>
      <c r="J55" s="159" t="s">
        <v>659</v>
      </c>
      <c r="K55" s="158" t="s">
        <v>1248</v>
      </c>
      <c r="L55" s="158" t="s">
        <v>1046</v>
      </c>
      <c r="M55" s="158" t="s">
        <v>526</v>
      </c>
      <c r="N55" s="158" t="s">
        <v>763</v>
      </c>
      <c r="O55" s="158" t="s">
        <v>396</v>
      </c>
      <c r="P55" s="158" t="s">
        <v>811</v>
      </c>
      <c r="Q55" s="158" t="s">
        <v>1396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1045</v>
      </c>
      <c r="E56" s="158" t="s">
        <v>551</v>
      </c>
      <c r="F56" s="158" t="s">
        <v>526</v>
      </c>
      <c r="G56" s="158" t="s">
        <v>1046</v>
      </c>
      <c r="H56" s="158" t="s">
        <v>1046</v>
      </c>
      <c r="I56" s="158" t="s">
        <v>1101</v>
      </c>
      <c r="J56" s="159" t="s">
        <v>660</v>
      </c>
      <c r="K56" s="158" t="s">
        <v>1249</v>
      </c>
      <c r="L56" s="158" t="s">
        <v>1046</v>
      </c>
      <c r="M56" s="158" t="s">
        <v>526</v>
      </c>
      <c r="N56" s="158" t="s">
        <v>763</v>
      </c>
      <c r="O56" s="158" t="s">
        <v>424</v>
      </c>
      <c r="P56" s="158" t="s">
        <v>812</v>
      </c>
      <c r="Q56" s="158" t="s">
        <v>1397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1045</v>
      </c>
      <c r="E57" s="158" t="s">
        <v>551</v>
      </c>
      <c r="F57" s="158" t="s">
        <v>526</v>
      </c>
      <c r="G57" s="158" t="s">
        <v>1046</v>
      </c>
      <c r="H57" s="158" t="s">
        <v>1046</v>
      </c>
      <c r="I57" s="158" t="s">
        <v>1102</v>
      </c>
      <c r="J57" s="159" t="s">
        <v>661</v>
      </c>
      <c r="K57" s="158" t="s">
        <v>1250</v>
      </c>
      <c r="L57" s="158" t="s">
        <v>1046</v>
      </c>
      <c r="M57" s="158" t="s">
        <v>526</v>
      </c>
      <c r="N57" s="158" t="s">
        <v>763</v>
      </c>
      <c r="O57" s="158" t="s">
        <v>433</v>
      </c>
      <c r="P57" s="158" t="s">
        <v>813</v>
      </c>
      <c r="Q57" s="158" t="s">
        <v>1398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1045</v>
      </c>
      <c r="E58" s="158" t="s">
        <v>551</v>
      </c>
      <c r="F58" s="158" t="s">
        <v>526</v>
      </c>
      <c r="G58" s="158" t="s">
        <v>1046</v>
      </c>
      <c r="H58" s="158" t="s">
        <v>1046</v>
      </c>
      <c r="I58" s="158" t="s">
        <v>1103</v>
      </c>
      <c r="J58" s="159" t="s">
        <v>662</v>
      </c>
      <c r="K58" s="158" t="s">
        <v>1251</v>
      </c>
      <c r="L58" s="158" t="s">
        <v>1046</v>
      </c>
      <c r="M58" s="158" t="s">
        <v>526</v>
      </c>
      <c r="N58" s="158" t="s">
        <v>763</v>
      </c>
      <c r="O58" s="158" t="s">
        <v>391</v>
      </c>
      <c r="P58" s="158" t="s">
        <v>814</v>
      </c>
      <c r="Q58" s="158" t="s">
        <v>1399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1045</v>
      </c>
      <c r="E59" s="158" t="s">
        <v>551</v>
      </c>
      <c r="F59" s="158" t="s">
        <v>526</v>
      </c>
      <c r="G59" s="158" t="s">
        <v>1046</v>
      </c>
      <c r="H59" s="158" t="s">
        <v>1046</v>
      </c>
      <c r="I59" s="158" t="s">
        <v>1104</v>
      </c>
      <c r="J59" s="159" t="s">
        <v>663</v>
      </c>
      <c r="K59" s="158" t="s">
        <v>1252</v>
      </c>
      <c r="L59" s="158" t="s">
        <v>1046</v>
      </c>
      <c r="M59" s="158" t="s">
        <v>526</v>
      </c>
      <c r="N59" s="158" t="s">
        <v>763</v>
      </c>
      <c r="O59" s="158" t="s">
        <v>472</v>
      </c>
      <c r="P59" s="158" t="s">
        <v>815</v>
      </c>
      <c r="Q59" s="158" t="s">
        <v>1400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1045</v>
      </c>
      <c r="E60" s="158" t="s">
        <v>551</v>
      </c>
      <c r="F60" s="158" t="s">
        <v>526</v>
      </c>
      <c r="G60" s="158" t="s">
        <v>1046</v>
      </c>
      <c r="H60" s="158" t="s">
        <v>1046</v>
      </c>
      <c r="I60" s="158" t="s">
        <v>1105</v>
      </c>
      <c r="J60" s="159" t="s">
        <v>664</v>
      </c>
      <c r="K60" s="158" t="s">
        <v>1253</v>
      </c>
      <c r="L60" s="158" t="s">
        <v>1046</v>
      </c>
      <c r="M60" s="158" t="s">
        <v>526</v>
      </c>
      <c r="N60" s="158" t="s">
        <v>763</v>
      </c>
      <c r="O60" s="158" t="s">
        <v>435</v>
      </c>
      <c r="P60" s="158" t="s">
        <v>816</v>
      </c>
      <c r="Q60" s="158" t="s">
        <v>1401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1045</v>
      </c>
      <c r="E61" s="158" t="s">
        <v>551</v>
      </c>
      <c r="F61" s="158" t="s">
        <v>526</v>
      </c>
      <c r="G61" s="158" t="s">
        <v>1046</v>
      </c>
      <c r="H61" s="158" t="s">
        <v>1046</v>
      </c>
      <c r="I61" s="158" t="s">
        <v>1106</v>
      </c>
      <c r="J61" s="159" t="s">
        <v>665</v>
      </c>
      <c r="K61" s="158" t="s">
        <v>1254</v>
      </c>
      <c r="L61" s="158" t="s">
        <v>1046</v>
      </c>
      <c r="M61" s="158" t="s">
        <v>526</v>
      </c>
      <c r="N61" s="158" t="s">
        <v>763</v>
      </c>
      <c r="O61" s="158" t="s">
        <v>54</v>
      </c>
      <c r="P61" s="158" t="s">
        <v>817</v>
      </c>
      <c r="Q61" s="158" t="s">
        <v>1402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1045</v>
      </c>
      <c r="E62" s="158" t="s">
        <v>551</v>
      </c>
      <c r="F62" s="158" t="s">
        <v>526</v>
      </c>
      <c r="G62" s="158" t="s">
        <v>1046</v>
      </c>
      <c r="H62" s="158" t="s">
        <v>1046</v>
      </c>
      <c r="I62" s="158" t="s">
        <v>1107</v>
      </c>
      <c r="J62" s="159" t="s">
        <v>666</v>
      </c>
      <c r="K62" s="158" t="s">
        <v>1255</v>
      </c>
      <c r="L62" s="158" t="s">
        <v>1046</v>
      </c>
      <c r="M62" s="158" t="s">
        <v>526</v>
      </c>
      <c r="N62" s="158" t="s">
        <v>763</v>
      </c>
      <c r="O62" s="158" t="s">
        <v>474</v>
      </c>
      <c r="P62" s="158" t="s">
        <v>818</v>
      </c>
      <c r="Q62" s="158" t="s">
        <v>1403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1045</v>
      </c>
      <c r="E63" s="158" t="s">
        <v>551</v>
      </c>
      <c r="F63" s="158" t="s">
        <v>526</v>
      </c>
      <c r="G63" s="158" t="s">
        <v>1046</v>
      </c>
      <c r="H63" s="158" t="s">
        <v>1046</v>
      </c>
      <c r="I63" s="158" t="s">
        <v>1108</v>
      </c>
      <c r="J63" s="159" t="s">
        <v>667</v>
      </c>
      <c r="K63" s="158" t="s">
        <v>1256</v>
      </c>
      <c r="L63" s="158" t="s">
        <v>1046</v>
      </c>
      <c r="M63" s="158" t="s">
        <v>526</v>
      </c>
      <c r="N63" s="158" t="s">
        <v>763</v>
      </c>
      <c r="O63" s="158" t="s">
        <v>411</v>
      </c>
      <c r="P63" s="158" t="s">
        <v>819</v>
      </c>
      <c r="Q63" s="158" t="s">
        <v>1404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1045</v>
      </c>
      <c r="E64" s="158" t="s">
        <v>551</v>
      </c>
      <c r="F64" s="158" t="s">
        <v>526</v>
      </c>
      <c r="G64" s="158" t="s">
        <v>1046</v>
      </c>
      <c r="H64" s="158" t="s">
        <v>1046</v>
      </c>
      <c r="I64" s="158" t="s">
        <v>1109</v>
      </c>
      <c r="J64" s="159" t="s">
        <v>668</v>
      </c>
      <c r="K64" s="158" t="s">
        <v>1257</v>
      </c>
      <c r="L64" s="158" t="s">
        <v>1046</v>
      </c>
      <c r="M64" s="158" t="s">
        <v>526</v>
      </c>
      <c r="N64" s="158" t="s">
        <v>763</v>
      </c>
      <c r="O64" s="158" t="s">
        <v>383</v>
      </c>
      <c r="P64" s="158" t="s">
        <v>820</v>
      </c>
      <c r="Q64" s="158" t="s">
        <v>1405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1045</v>
      </c>
      <c r="E65" s="158" t="s">
        <v>551</v>
      </c>
      <c r="F65" s="158" t="s">
        <v>526</v>
      </c>
      <c r="G65" s="158" t="s">
        <v>1046</v>
      </c>
      <c r="H65" s="158" t="s">
        <v>1046</v>
      </c>
      <c r="I65" s="158" t="s">
        <v>1110</v>
      </c>
      <c r="J65" s="159" t="s">
        <v>669</v>
      </c>
      <c r="K65" s="158" t="s">
        <v>1258</v>
      </c>
      <c r="L65" s="158" t="s">
        <v>1046</v>
      </c>
      <c r="M65" s="158" t="s">
        <v>526</v>
      </c>
      <c r="N65" s="158" t="s">
        <v>763</v>
      </c>
      <c r="O65" s="158" t="s">
        <v>484</v>
      </c>
      <c r="P65" s="158" t="s">
        <v>821</v>
      </c>
      <c r="Q65" s="158" t="s">
        <v>1406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1045</v>
      </c>
      <c r="E66" s="158" t="s">
        <v>551</v>
      </c>
      <c r="F66" s="158" t="s">
        <v>526</v>
      </c>
      <c r="G66" s="158" t="s">
        <v>1046</v>
      </c>
      <c r="H66" s="158" t="s">
        <v>1046</v>
      </c>
      <c r="I66" s="158" t="s">
        <v>1111</v>
      </c>
      <c r="J66" s="159" t="s">
        <v>670</v>
      </c>
      <c r="K66" s="158" t="s">
        <v>1259</v>
      </c>
      <c r="L66" s="158" t="s">
        <v>1046</v>
      </c>
      <c r="M66" s="158" t="s">
        <v>526</v>
      </c>
      <c r="N66" s="158" t="s">
        <v>763</v>
      </c>
      <c r="O66" s="158" t="s">
        <v>449</v>
      </c>
      <c r="P66" s="158" t="s">
        <v>822</v>
      </c>
      <c r="Q66" s="158" t="s">
        <v>1407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1045</v>
      </c>
      <c r="E67" s="158" t="s">
        <v>551</v>
      </c>
      <c r="F67" s="158" t="s">
        <v>526</v>
      </c>
      <c r="G67" s="158" t="s">
        <v>1046</v>
      </c>
      <c r="H67" s="158" t="s">
        <v>1046</v>
      </c>
      <c r="I67" s="158" t="s">
        <v>1112</v>
      </c>
      <c r="J67" s="159" t="s">
        <v>671</v>
      </c>
      <c r="K67" s="158" t="s">
        <v>1260</v>
      </c>
      <c r="L67" s="158" t="s">
        <v>1046</v>
      </c>
      <c r="M67" s="158" t="s">
        <v>526</v>
      </c>
      <c r="N67" s="158" t="s">
        <v>763</v>
      </c>
      <c r="O67" s="158" t="s">
        <v>425</v>
      </c>
      <c r="P67" s="158" t="s">
        <v>823</v>
      </c>
      <c r="Q67" s="158" t="s">
        <v>1408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1045</v>
      </c>
      <c r="E68" s="158" t="s">
        <v>551</v>
      </c>
      <c r="F68" s="158" t="s">
        <v>526</v>
      </c>
      <c r="G68" s="158" t="s">
        <v>1046</v>
      </c>
      <c r="H68" s="158" t="s">
        <v>1046</v>
      </c>
      <c r="I68" s="158" t="s">
        <v>1113</v>
      </c>
      <c r="J68" s="159" t="s">
        <v>672</v>
      </c>
      <c r="K68" s="158" t="s">
        <v>1261</v>
      </c>
      <c r="L68" s="158" t="s">
        <v>1046</v>
      </c>
      <c r="M68" s="158" t="s">
        <v>526</v>
      </c>
      <c r="N68" s="158" t="s">
        <v>763</v>
      </c>
      <c r="O68" s="158" t="s">
        <v>420</v>
      </c>
      <c r="P68" s="158" t="s">
        <v>824</v>
      </c>
      <c r="Q68" s="158" t="s">
        <v>1409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1045</v>
      </c>
      <c r="E69" s="158" t="s">
        <v>551</v>
      </c>
      <c r="F69" s="158" t="s">
        <v>526</v>
      </c>
      <c r="G69" s="158" t="s">
        <v>1046</v>
      </c>
      <c r="H69" s="158" t="s">
        <v>1046</v>
      </c>
      <c r="I69" s="158" t="s">
        <v>1114</v>
      </c>
      <c r="J69" s="159" t="s">
        <v>673</v>
      </c>
      <c r="K69" s="158" t="s">
        <v>1262</v>
      </c>
      <c r="L69" s="158" t="s">
        <v>1046</v>
      </c>
      <c r="M69" s="158" t="s">
        <v>526</v>
      </c>
      <c r="N69" s="158" t="s">
        <v>763</v>
      </c>
      <c r="O69" s="158" t="s">
        <v>466</v>
      </c>
      <c r="P69" s="158" t="s">
        <v>825</v>
      </c>
      <c r="Q69" s="158" t="s">
        <v>1410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1045</v>
      </c>
      <c r="E70" s="158" t="s">
        <v>551</v>
      </c>
      <c r="F70" s="158" t="s">
        <v>526</v>
      </c>
      <c r="G70" s="158" t="s">
        <v>1046</v>
      </c>
      <c r="H70" s="158" t="s">
        <v>1046</v>
      </c>
      <c r="I70" s="158" t="s">
        <v>1115</v>
      </c>
      <c r="J70" s="159" t="s">
        <v>674</v>
      </c>
      <c r="K70" s="158" t="s">
        <v>1263</v>
      </c>
      <c r="L70" s="158" t="s">
        <v>1046</v>
      </c>
      <c r="M70" s="158" t="s">
        <v>526</v>
      </c>
      <c r="N70" s="158" t="s">
        <v>763</v>
      </c>
      <c r="O70" s="158" t="s">
        <v>471</v>
      </c>
      <c r="P70" s="158" t="s">
        <v>826</v>
      </c>
      <c r="Q70" s="158" t="s">
        <v>1411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1045</v>
      </c>
      <c r="E71" s="158" t="s">
        <v>551</v>
      </c>
      <c r="F71" s="158" t="s">
        <v>526</v>
      </c>
      <c r="G71" s="158" t="s">
        <v>1046</v>
      </c>
      <c r="H71" s="158" t="s">
        <v>1046</v>
      </c>
      <c r="I71" s="158" t="s">
        <v>1116</v>
      </c>
      <c r="J71" s="159" t="s">
        <v>675</v>
      </c>
      <c r="K71" s="158" t="s">
        <v>1264</v>
      </c>
      <c r="L71" s="158" t="s">
        <v>1046</v>
      </c>
      <c r="M71" s="158" t="s">
        <v>526</v>
      </c>
      <c r="N71" s="158" t="s">
        <v>763</v>
      </c>
      <c r="O71" s="158" t="s">
        <v>412</v>
      </c>
      <c r="P71" s="158" t="s">
        <v>827</v>
      </c>
      <c r="Q71" s="158" t="s">
        <v>1412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1045</v>
      </c>
      <c r="E72" s="158" t="s">
        <v>551</v>
      </c>
      <c r="F72" s="158" t="s">
        <v>526</v>
      </c>
      <c r="G72" s="158" t="s">
        <v>1046</v>
      </c>
      <c r="H72" s="158" t="s">
        <v>1046</v>
      </c>
      <c r="I72" s="158" t="s">
        <v>1117</v>
      </c>
      <c r="J72" s="159" t="s">
        <v>676</v>
      </c>
      <c r="K72" s="158" t="s">
        <v>1265</v>
      </c>
      <c r="L72" s="158" t="s">
        <v>1046</v>
      </c>
      <c r="M72" s="158" t="s">
        <v>526</v>
      </c>
      <c r="N72" s="158" t="s">
        <v>763</v>
      </c>
      <c r="O72" s="158" t="s">
        <v>486</v>
      </c>
      <c r="P72" s="158" t="s">
        <v>828</v>
      </c>
      <c r="Q72" s="158" t="s">
        <v>1413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1045</v>
      </c>
      <c r="E73" s="158" t="s">
        <v>551</v>
      </c>
      <c r="F73" s="158" t="s">
        <v>526</v>
      </c>
      <c r="G73" s="158" t="s">
        <v>1046</v>
      </c>
      <c r="H73" s="158" t="s">
        <v>1046</v>
      </c>
      <c r="I73" s="158" t="s">
        <v>1118</v>
      </c>
      <c r="J73" s="159" t="s">
        <v>623</v>
      </c>
      <c r="K73" s="158" t="s">
        <v>1266</v>
      </c>
      <c r="L73" s="158" t="s">
        <v>1046</v>
      </c>
      <c r="M73" s="158" t="s">
        <v>526</v>
      </c>
      <c r="N73" s="158" t="s">
        <v>763</v>
      </c>
      <c r="O73" s="158" t="s">
        <v>521</v>
      </c>
      <c r="P73" s="158" t="s">
        <v>775</v>
      </c>
      <c r="Q73" s="158" t="s">
        <v>1414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1045</v>
      </c>
      <c r="E74" s="158" t="s">
        <v>551</v>
      </c>
      <c r="F74" s="158" t="s">
        <v>526</v>
      </c>
      <c r="G74" s="158" t="s">
        <v>1046</v>
      </c>
      <c r="H74" s="158" t="s">
        <v>1046</v>
      </c>
      <c r="I74" s="158" t="s">
        <v>1119</v>
      </c>
      <c r="J74" s="159" t="s">
        <v>678</v>
      </c>
      <c r="K74" s="158" t="s">
        <v>1267</v>
      </c>
      <c r="L74" s="158" t="s">
        <v>1046</v>
      </c>
      <c r="M74" s="158" t="s">
        <v>526</v>
      </c>
      <c r="N74" s="158" t="s">
        <v>763</v>
      </c>
      <c r="O74" s="158" t="s">
        <v>405</v>
      </c>
      <c r="P74" s="158" t="s">
        <v>830</v>
      </c>
      <c r="Q74" s="158" t="s">
        <v>1415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1045</v>
      </c>
      <c r="E75" s="158" t="s">
        <v>551</v>
      </c>
      <c r="F75" s="158" t="s">
        <v>526</v>
      </c>
      <c r="G75" s="158" t="s">
        <v>1046</v>
      </c>
      <c r="H75" s="158" t="s">
        <v>1046</v>
      </c>
      <c r="I75" s="158" t="s">
        <v>1120</v>
      </c>
      <c r="J75" s="159" t="s">
        <v>679</v>
      </c>
      <c r="K75" s="158" t="s">
        <v>1268</v>
      </c>
      <c r="L75" s="158" t="s">
        <v>1046</v>
      </c>
      <c r="M75" s="158" t="s">
        <v>526</v>
      </c>
      <c r="N75" s="158" t="s">
        <v>763</v>
      </c>
      <c r="O75" s="158" t="s">
        <v>488</v>
      </c>
      <c r="P75" s="158" t="s">
        <v>831</v>
      </c>
      <c r="Q75" s="158" t="s">
        <v>1416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1045</v>
      </c>
      <c r="E76" s="158" t="s">
        <v>551</v>
      </c>
      <c r="F76" s="158" t="s">
        <v>526</v>
      </c>
      <c r="G76" s="158" t="s">
        <v>1046</v>
      </c>
      <c r="H76" s="158" t="s">
        <v>1046</v>
      </c>
      <c r="I76" s="158" t="s">
        <v>1121</v>
      </c>
      <c r="J76" s="159" t="s">
        <v>680</v>
      </c>
      <c r="K76" s="158" t="s">
        <v>1269</v>
      </c>
      <c r="L76" s="158" t="s">
        <v>1046</v>
      </c>
      <c r="M76" s="158" t="s">
        <v>526</v>
      </c>
      <c r="N76" s="158" t="s">
        <v>763</v>
      </c>
      <c r="O76" s="158" t="s">
        <v>406</v>
      </c>
      <c r="P76" s="158" t="s">
        <v>832</v>
      </c>
      <c r="Q76" s="158" t="s">
        <v>1417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1045</v>
      </c>
      <c r="E77" s="158" t="s">
        <v>551</v>
      </c>
      <c r="F77" s="158" t="s">
        <v>526</v>
      </c>
      <c r="G77" s="158" t="s">
        <v>1046</v>
      </c>
      <c r="H77" s="158" t="s">
        <v>1046</v>
      </c>
      <c r="I77" s="158" t="s">
        <v>1122</v>
      </c>
      <c r="J77" s="159" t="s">
        <v>681</v>
      </c>
      <c r="K77" s="158" t="s">
        <v>1270</v>
      </c>
      <c r="L77" s="158" t="s">
        <v>1046</v>
      </c>
      <c r="M77" s="158" t="s">
        <v>526</v>
      </c>
      <c r="N77" s="158" t="s">
        <v>763</v>
      </c>
      <c r="O77" s="158" t="s">
        <v>408</v>
      </c>
      <c r="P77" s="158" t="s">
        <v>833</v>
      </c>
      <c r="Q77" s="158" t="s">
        <v>1418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1045</v>
      </c>
      <c r="E78" s="158" t="s">
        <v>551</v>
      </c>
      <c r="F78" s="158" t="s">
        <v>526</v>
      </c>
      <c r="G78" s="158" t="s">
        <v>1046</v>
      </c>
      <c r="H78" s="158" t="s">
        <v>1046</v>
      </c>
      <c r="I78" s="158" t="s">
        <v>1123</v>
      </c>
      <c r="J78" s="159" t="s">
        <v>682</v>
      </c>
      <c r="K78" s="158" t="s">
        <v>1271</v>
      </c>
      <c r="L78" s="158" t="s">
        <v>1046</v>
      </c>
      <c r="M78" s="158" t="s">
        <v>526</v>
      </c>
      <c r="N78" s="158" t="s">
        <v>763</v>
      </c>
      <c r="O78" s="158" t="s">
        <v>438</v>
      </c>
      <c r="P78" s="158" t="s">
        <v>834</v>
      </c>
      <c r="Q78" s="158" t="s">
        <v>1419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1045</v>
      </c>
      <c r="E79" s="158" t="s">
        <v>551</v>
      </c>
      <c r="F79" s="158" t="s">
        <v>526</v>
      </c>
      <c r="G79" s="158" t="s">
        <v>1046</v>
      </c>
      <c r="H79" s="158" t="s">
        <v>1046</v>
      </c>
      <c r="I79" s="158" t="s">
        <v>1124</v>
      </c>
      <c r="J79" s="159" t="s">
        <v>683</v>
      </c>
      <c r="K79" s="158" t="s">
        <v>1272</v>
      </c>
      <c r="L79" s="158" t="s">
        <v>1046</v>
      </c>
      <c r="M79" s="158" t="s">
        <v>526</v>
      </c>
      <c r="N79" s="158" t="s">
        <v>763</v>
      </c>
      <c r="O79" s="158" t="s">
        <v>502</v>
      </c>
      <c r="P79" s="158" t="s">
        <v>835</v>
      </c>
      <c r="Q79" s="158" t="s">
        <v>1420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1045</v>
      </c>
      <c r="E80" s="158" t="s">
        <v>551</v>
      </c>
      <c r="F80" s="158" t="s">
        <v>526</v>
      </c>
      <c r="G80" s="158" t="s">
        <v>1046</v>
      </c>
      <c r="H80" s="158" t="s">
        <v>1046</v>
      </c>
      <c r="I80" s="158" t="s">
        <v>1125</v>
      </c>
      <c r="J80" s="159" t="s">
        <v>684</v>
      </c>
      <c r="K80" s="158" t="s">
        <v>1273</v>
      </c>
      <c r="L80" s="158" t="s">
        <v>1046</v>
      </c>
      <c r="M80" s="158" t="s">
        <v>526</v>
      </c>
      <c r="N80" s="158" t="s">
        <v>763</v>
      </c>
      <c r="O80" s="158" t="s">
        <v>421</v>
      </c>
      <c r="P80" s="158" t="s">
        <v>836</v>
      </c>
      <c r="Q80" s="158" t="s">
        <v>1421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1045</v>
      </c>
      <c r="E81" s="158" t="s">
        <v>551</v>
      </c>
      <c r="F81" s="158" t="s">
        <v>526</v>
      </c>
      <c r="G81" s="158" t="s">
        <v>1046</v>
      </c>
      <c r="H81" s="158" t="s">
        <v>1046</v>
      </c>
      <c r="I81" s="158" t="s">
        <v>1126</v>
      </c>
      <c r="J81" s="159" t="s">
        <v>685</v>
      </c>
      <c r="K81" s="158" t="s">
        <v>1274</v>
      </c>
      <c r="L81" s="158" t="s">
        <v>1046</v>
      </c>
      <c r="M81" s="158" t="s">
        <v>526</v>
      </c>
      <c r="N81" s="158" t="s">
        <v>763</v>
      </c>
      <c r="O81" s="158" t="s">
        <v>492</v>
      </c>
      <c r="P81" s="158" t="s">
        <v>837</v>
      </c>
      <c r="Q81" s="158" t="s">
        <v>1422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1045</v>
      </c>
      <c r="E82" s="158" t="s">
        <v>551</v>
      </c>
      <c r="F82" s="158" t="s">
        <v>526</v>
      </c>
      <c r="G82" s="158" t="s">
        <v>1046</v>
      </c>
      <c r="H82" s="158" t="s">
        <v>1046</v>
      </c>
      <c r="I82" s="158" t="s">
        <v>1127</v>
      </c>
      <c r="J82" s="159" t="s">
        <v>686</v>
      </c>
      <c r="K82" s="158" t="s">
        <v>1275</v>
      </c>
      <c r="L82" s="158" t="s">
        <v>1046</v>
      </c>
      <c r="M82" s="158" t="s">
        <v>526</v>
      </c>
      <c r="N82" s="158" t="s">
        <v>763</v>
      </c>
      <c r="O82" s="158" t="s">
        <v>490</v>
      </c>
      <c r="P82" s="158" t="s">
        <v>838</v>
      </c>
      <c r="Q82" s="158" t="s">
        <v>1423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1045</v>
      </c>
      <c r="E83" s="158" t="s">
        <v>551</v>
      </c>
      <c r="F83" s="158" t="s">
        <v>526</v>
      </c>
      <c r="G83" s="158" t="s">
        <v>1046</v>
      </c>
      <c r="H83" s="158" t="s">
        <v>1046</v>
      </c>
      <c r="I83" s="158" t="s">
        <v>1128</v>
      </c>
      <c r="J83" s="159" t="s">
        <v>687</v>
      </c>
      <c r="K83" s="158" t="s">
        <v>1276</v>
      </c>
      <c r="L83" s="158" t="s">
        <v>1046</v>
      </c>
      <c r="M83" s="158" t="s">
        <v>526</v>
      </c>
      <c r="N83" s="158" t="s">
        <v>763</v>
      </c>
      <c r="O83" s="158" t="s">
        <v>387</v>
      </c>
      <c r="P83" s="158" t="s">
        <v>839</v>
      </c>
      <c r="Q83" s="158" t="s">
        <v>1424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1045</v>
      </c>
      <c r="E84" s="158" t="s">
        <v>551</v>
      </c>
      <c r="F84" s="158" t="s">
        <v>526</v>
      </c>
      <c r="G84" s="158" t="s">
        <v>1046</v>
      </c>
      <c r="H84" s="158" t="s">
        <v>1046</v>
      </c>
      <c r="I84" s="158" t="s">
        <v>1129</v>
      </c>
      <c r="J84" s="159" t="s">
        <v>688</v>
      </c>
      <c r="K84" s="158" t="s">
        <v>1277</v>
      </c>
      <c r="L84" s="158" t="s">
        <v>1046</v>
      </c>
      <c r="M84" s="158" t="s">
        <v>526</v>
      </c>
      <c r="N84" s="158" t="s">
        <v>763</v>
      </c>
      <c r="O84" s="158" t="s">
        <v>415</v>
      </c>
      <c r="P84" s="158" t="s">
        <v>840</v>
      </c>
      <c r="Q84" s="158" t="s">
        <v>1425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1045</v>
      </c>
      <c r="E85" s="158" t="s">
        <v>551</v>
      </c>
      <c r="F85" s="158" t="s">
        <v>526</v>
      </c>
      <c r="G85" s="158" t="s">
        <v>1046</v>
      </c>
      <c r="H85" s="158" t="s">
        <v>1046</v>
      </c>
      <c r="I85" s="158" t="s">
        <v>1130</v>
      </c>
      <c r="J85" s="159" t="s">
        <v>689</v>
      </c>
      <c r="K85" s="158" t="s">
        <v>1278</v>
      </c>
      <c r="L85" s="158" t="s">
        <v>1046</v>
      </c>
      <c r="M85" s="158" t="s">
        <v>526</v>
      </c>
      <c r="N85" s="158" t="s">
        <v>763</v>
      </c>
      <c r="O85" s="158" t="s">
        <v>448</v>
      </c>
      <c r="P85" s="158" t="s">
        <v>841</v>
      </c>
      <c r="Q85" s="158" t="s">
        <v>1426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1045</v>
      </c>
      <c r="E86" s="158" t="s">
        <v>551</v>
      </c>
      <c r="F86" s="158" t="s">
        <v>526</v>
      </c>
      <c r="G86" s="158" t="s">
        <v>1046</v>
      </c>
      <c r="H86" s="158" t="s">
        <v>1046</v>
      </c>
      <c r="I86" s="158" t="s">
        <v>1131</v>
      </c>
      <c r="J86" s="159" t="s">
        <v>690</v>
      </c>
      <c r="K86" s="158" t="s">
        <v>1279</v>
      </c>
      <c r="L86" s="158" t="s">
        <v>1046</v>
      </c>
      <c r="M86" s="158" t="s">
        <v>526</v>
      </c>
      <c r="N86" s="158" t="s">
        <v>763</v>
      </c>
      <c r="O86" s="158" t="s">
        <v>504</v>
      </c>
      <c r="P86" s="158" t="s">
        <v>842</v>
      </c>
      <c r="Q86" s="158" t="s">
        <v>1427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1045</v>
      </c>
      <c r="E87" s="158" t="s">
        <v>551</v>
      </c>
      <c r="F87" s="158" t="s">
        <v>526</v>
      </c>
      <c r="G87" s="158" t="s">
        <v>1046</v>
      </c>
      <c r="H87" s="158" t="s">
        <v>1046</v>
      </c>
      <c r="I87" s="158" t="s">
        <v>1132</v>
      </c>
      <c r="J87" s="159" t="s">
        <v>691</v>
      </c>
      <c r="K87" s="158" t="s">
        <v>1280</v>
      </c>
      <c r="L87" s="158" t="s">
        <v>1046</v>
      </c>
      <c r="M87" s="158" t="s">
        <v>526</v>
      </c>
      <c r="N87" s="158" t="s">
        <v>763</v>
      </c>
      <c r="O87" s="158" t="s">
        <v>462</v>
      </c>
      <c r="P87" s="158" t="s">
        <v>843</v>
      </c>
      <c r="Q87" s="158" t="s">
        <v>1428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1045</v>
      </c>
      <c r="E88" s="158" t="s">
        <v>551</v>
      </c>
      <c r="F88" s="158" t="s">
        <v>526</v>
      </c>
      <c r="G88" s="158" t="s">
        <v>1046</v>
      </c>
      <c r="H88" s="158" t="s">
        <v>1046</v>
      </c>
      <c r="I88" s="158" t="s">
        <v>1133</v>
      </c>
      <c r="J88" s="159" t="s">
        <v>692</v>
      </c>
      <c r="K88" s="158" t="s">
        <v>1281</v>
      </c>
      <c r="L88" s="158" t="s">
        <v>1046</v>
      </c>
      <c r="M88" s="158" t="s">
        <v>526</v>
      </c>
      <c r="N88" s="158" t="s">
        <v>763</v>
      </c>
      <c r="O88" s="158" t="s">
        <v>524</v>
      </c>
      <c r="P88" s="158" t="s">
        <v>844</v>
      </c>
      <c r="Q88" s="158" t="s">
        <v>1429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1045</v>
      </c>
      <c r="E89" s="158" t="s">
        <v>551</v>
      </c>
      <c r="F89" s="158" t="s">
        <v>526</v>
      </c>
      <c r="G89" s="158" t="s">
        <v>1046</v>
      </c>
      <c r="H89" s="158" t="s">
        <v>1046</v>
      </c>
      <c r="I89" s="158" t="s">
        <v>1134</v>
      </c>
      <c r="J89" s="159" t="s">
        <v>693</v>
      </c>
      <c r="K89" s="158" t="s">
        <v>1282</v>
      </c>
      <c r="L89" s="158" t="s">
        <v>1046</v>
      </c>
      <c r="M89" s="158" t="s">
        <v>526</v>
      </c>
      <c r="N89" s="158" t="s">
        <v>763</v>
      </c>
      <c r="O89" s="158" t="s">
        <v>444</v>
      </c>
      <c r="P89" s="158" t="s">
        <v>845</v>
      </c>
      <c r="Q89" s="158" t="s">
        <v>1430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1045</v>
      </c>
      <c r="E90" s="158" t="s">
        <v>551</v>
      </c>
      <c r="F90" s="158" t="s">
        <v>526</v>
      </c>
      <c r="G90" s="158" t="s">
        <v>1046</v>
      </c>
      <c r="H90" s="158" t="s">
        <v>1046</v>
      </c>
      <c r="I90" s="158" t="s">
        <v>1135</v>
      </c>
      <c r="J90" s="159" t="s">
        <v>694</v>
      </c>
      <c r="K90" s="158" t="s">
        <v>1283</v>
      </c>
      <c r="L90" s="158" t="s">
        <v>1046</v>
      </c>
      <c r="M90" s="158" t="s">
        <v>526</v>
      </c>
      <c r="N90" s="158" t="s">
        <v>763</v>
      </c>
      <c r="O90" s="158" t="s">
        <v>437</v>
      </c>
      <c r="P90" s="158" t="s">
        <v>846</v>
      </c>
      <c r="Q90" s="158" t="s">
        <v>1431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1045</v>
      </c>
      <c r="E91" s="158" t="s">
        <v>551</v>
      </c>
      <c r="F91" s="158" t="s">
        <v>526</v>
      </c>
      <c r="G91" s="158" t="s">
        <v>1046</v>
      </c>
      <c r="H91" s="158" t="s">
        <v>1046</v>
      </c>
      <c r="I91" s="158" t="s">
        <v>1136</v>
      </c>
      <c r="J91" s="159" t="s">
        <v>695</v>
      </c>
      <c r="K91" s="158" t="s">
        <v>1284</v>
      </c>
      <c r="L91" s="158" t="s">
        <v>1046</v>
      </c>
      <c r="M91" s="158" t="s">
        <v>526</v>
      </c>
      <c r="N91" s="158" t="s">
        <v>763</v>
      </c>
      <c r="O91" s="158" t="s">
        <v>510</v>
      </c>
      <c r="P91" s="158" t="s">
        <v>847</v>
      </c>
      <c r="Q91" s="158" t="s">
        <v>1432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1045</v>
      </c>
      <c r="E92" s="158" t="s">
        <v>551</v>
      </c>
      <c r="F92" s="158" t="s">
        <v>526</v>
      </c>
      <c r="G92" s="158" t="s">
        <v>1046</v>
      </c>
      <c r="H92" s="158" t="s">
        <v>1046</v>
      </c>
      <c r="I92" s="158" t="s">
        <v>1137</v>
      </c>
      <c r="J92" s="159" t="s">
        <v>696</v>
      </c>
      <c r="K92" s="158" t="s">
        <v>1285</v>
      </c>
      <c r="L92" s="158" t="s">
        <v>1046</v>
      </c>
      <c r="M92" s="158" t="s">
        <v>526</v>
      </c>
      <c r="N92" s="158" t="s">
        <v>763</v>
      </c>
      <c r="O92" s="158" t="s">
        <v>465</v>
      </c>
      <c r="P92" s="158" t="s">
        <v>848</v>
      </c>
      <c r="Q92" s="158" t="s">
        <v>1433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1045</v>
      </c>
      <c r="E93" s="158" t="s">
        <v>551</v>
      </c>
      <c r="F93" s="158" t="s">
        <v>526</v>
      </c>
      <c r="G93" s="158" t="s">
        <v>1046</v>
      </c>
      <c r="H93" s="158" t="s">
        <v>1046</v>
      </c>
      <c r="I93" s="158" t="s">
        <v>1138</v>
      </c>
      <c r="J93" s="159" t="s">
        <v>697</v>
      </c>
      <c r="K93" s="158" t="s">
        <v>1286</v>
      </c>
      <c r="L93" s="158" t="s">
        <v>1046</v>
      </c>
      <c r="M93" s="158" t="s">
        <v>526</v>
      </c>
      <c r="N93" s="158" t="s">
        <v>763</v>
      </c>
      <c r="O93" s="158" t="s">
        <v>503</v>
      </c>
      <c r="P93" s="158" t="s">
        <v>849</v>
      </c>
      <c r="Q93" s="158" t="s">
        <v>1434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1045</v>
      </c>
      <c r="E94" s="158" t="s">
        <v>551</v>
      </c>
      <c r="F94" s="158" t="s">
        <v>526</v>
      </c>
      <c r="G94" s="158" t="s">
        <v>1046</v>
      </c>
      <c r="H94" s="158" t="s">
        <v>1046</v>
      </c>
      <c r="I94" s="158" t="s">
        <v>1139</v>
      </c>
      <c r="J94" s="159" t="s">
        <v>698</v>
      </c>
      <c r="K94" s="158" t="s">
        <v>1287</v>
      </c>
      <c r="L94" s="158" t="s">
        <v>1046</v>
      </c>
      <c r="M94" s="158" t="s">
        <v>526</v>
      </c>
      <c r="N94" s="158" t="s">
        <v>763</v>
      </c>
      <c r="O94" s="158" t="s">
        <v>431</v>
      </c>
      <c r="P94" s="158" t="s">
        <v>850</v>
      </c>
      <c r="Q94" s="158" t="s">
        <v>1435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1045</v>
      </c>
      <c r="E95" s="158" t="s">
        <v>551</v>
      </c>
      <c r="F95" s="158" t="s">
        <v>526</v>
      </c>
      <c r="G95" s="158" t="s">
        <v>1046</v>
      </c>
      <c r="H95" s="158" t="s">
        <v>1046</v>
      </c>
      <c r="I95" s="158" t="s">
        <v>1140</v>
      </c>
      <c r="J95" s="159" t="s">
        <v>699</v>
      </c>
      <c r="K95" s="158" t="s">
        <v>1288</v>
      </c>
      <c r="L95" s="158" t="s">
        <v>1046</v>
      </c>
      <c r="M95" s="158" t="s">
        <v>526</v>
      </c>
      <c r="N95" s="158" t="s">
        <v>763</v>
      </c>
      <c r="O95" s="158" t="s">
        <v>765</v>
      </c>
      <c r="P95" s="158" t="s">
        <v>851</v>
      </c>
      <c r="Q95" s="158" t="s">
        <v>1436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1045</v>
      </c>
      <c r="E96" s="158" t="s">
        <v>551</v>
      </c>
      <c r="F96" s="158" t="s">
        <v>526</v>
      </c>
      <c r="G96" s="158" t="s">
        <v>1046</v>
      </c>
      <c r="H96" s="158" t="s">
        <v>1046</v>
      </c>
      <c r="I96" s="158" t="s">
        <v>1141</v>
      </c>
      <c r="J96" s="159" t="s">
        <v>700</v>
      </c>
      <c r="K96" s="158" t="s">
        <v>1289</v>
      </c>
      <c r="L96" s="158" t="s">
        <v>1046</v>
      </c>
      <c r="M96" s="158" t="s">
        <v>526</v>
      </c>
      <c r="N96" s="158" t="s">
        <v>763</v>
      </c>
      <c r="O96" s="158" t="s">
        <v>393</v>
      </c>
      <c r="P96" s="158" t="s">
        <v>852</v>
      </c>
      <c r="Q96" s="158" t="s">
        <v>1437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1045</v>
      </c>
      <c r="E97" s="158" t="s">
        <v>551</v>
      </c>
      <c r="F97" s="158" t="s">
        <v>526</v>
      </c>
      <c r="G97" s="158" t="s">
        <v>1046</v>
      </c>
      <c r="H97" s="158" t="s">
        <v>1046</v>
      </c>
      <c r="I97" s="158" t="s">
        <v>1142</v>
      </c>
      <c r="J97" s="159" t="s">
        <v>701</v>
      </c>
      <c r="K97" s="158" t="s">
        <v>1290</v>
      </c>
      <c r="L97" s="158" t="s">
        <v>1046</v>
      </c>
      <c r="M97" s="158" t="s">
        <v>526</v>
      </c>
      <c r="N97" s="158" t="s">
        <v>763</v>
      </c>
      <c r="O97" s="158" t="s">
        <v>457</v>
      </c>
      <c r="P97" s="158" t="s">
        <v>853</v>
      </c>
      <c r="Q97" s="158" t="s">
        <v>1438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1045</v>
      </c>
      <c r="E98" s="158" t="s">
        <v>551</v>
      </c>
      <c r="F98" s="158" t="s">
        <v>526</v>
      </c>
      <c r="G98" s="158" t="s">
        <v>1046</v>
      </c>
      <c r="H98" s="158" t="s">
        <v>1046</v>
      </c>
      <c r="I98" s="158" t="s">
        <v>1143</v>
      </c>
      <c r="J98" s="159" t="s">
        <v>702</v>
      </c>
      <c r="K98" s="158" t="s">
        <v>1291</v>
      </c>
      <c r="L98" s="158" t="s">
        <v>1046</v>
      </c>
      <c r="M98" s="158" t="s">
        <v>526</v>
      </c>
      <c r="N98" s="158" t="s">
        <v>763</v>
      </c>
      <c r="O98" s="158" t="s">
        <v>409</v>
      </c>
      <c r="P98" s="158" t="s">
        <v>854</v>
      </c>
      <c r="Q98" s="158" t="s">
        <v>1396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1045</v>
      </c>
      <c r="E99" s="158" t="s">
        <v>551</v>
      </c>
      <c r="F99" s="158" t="s">
        <v>526</v>
      </c>
      <c r="G99" s="158" t="s">
        <v>1046</v>
      </c>
      <c r="H99" s="158" t="s">
        <v>1046</v>
      </c>
      <c r="I99" s="158" t="s">
        <v>1144</v>
      </c>
      <c r="J99" s="159" t="s">
        <v>703</v>
      </c>
      <c r="K99" s="158" t="s">
        <v>1292</v>
      </c>
      <c r="L99" s="158" t="s">
        <v>1046</v>
      </c>
      <c r="M99" s="158" t="s">
        <v>526</v>
      </c>
      <c r="N99" s="158" t="s">
        <v>763</v>
      </c>
      <c r="O99" s="158" t="s">
        <v>517</v>
      </c>
      <c r="P99" s="158" t="s">
        <v>855</v>
      </c>
      <c r="Q99" s="158" t="s">
        <v>1439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1045</v>
      </c>
      <c r="E100" s="158" t="s">
        <v>551</v>
      </c>
      <c r="F100" s="158" t="s">
        <v>526</v>
      </c>
      <c r="G100" s="158" t="s">
        <v>1046</v>
      </c>
      <c r="H100" s="158" t="s">
        <v>1046</v>
      </c>
      <c r="I100" s="158" t="s">
        <v>1145</v>
      </c>
      <c r="J100" s="159" t="s">
        <v>704</v>
      </c>
      <c r="K100" s="158" t="s">
        <v>1293</v>
      </c>
      <c r="L100" s="158" t="s">
        <v>1046</v>
      </c>
      <c r="M100" s="158" t="s">
        <v>526</v>
      </c>
      <c r="N100" s="158" t="s">
        <v>763</v>
      </c>
      <c r="O100" s="158" t="s">
        <v>766</v>
      </c>
      <c r="P100" s="158" t="s">
        <v>856</v>
      </c>
      <c r="Q100" s="158" t="s">
        <v>1440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1045</v>
      </c>
      <c r="E101" s="158" t="s">
        <v>551</v>
      </c>
      <c r="F101" s="158" t="s">
        <v>526</v>
      </c>
      <c r="G101" s="158" t="s">
        <v>1046</v>
      </c>
      <c r="H101" s="158" t="s">
        <v>1046</v>
      </c>
      <c r="I101" s="158" t="s">
        <v>1146</v>
      </c>
      <c r="J101" s="159" t="s">
        <v>705</v>
      </c>
      <c r="K101" s="158" t="s">
        <v>1294</v>
      </c>
      <c r="L101" s="158" t="s">
        <v>1046</v>
      </c>
      <c r="M101" s="158" t="s">
        <v>526</v>
      </c>
      <c r="N101" s="158" t="s">
        <v>763</v>
      </c>
      <c r="O101" s="158" t="s">
        <v>417</v>
      </c>
      <c r="P101" s="158" t="s">
        <v>857</v>
      </c>
      <c r="Q101" s="158" t="s">
        <v>1441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1045</v>
      </c>
      <c r="E102" s="158" t="s">
        <v>551</v>
      </c>
      <c r="F102" s="158" t="s">
        <v>526</v>
      </c>
      <c r="G102" s="158" t="s">
        <v>1046</v>
      </c>
      <c r="H102" s="158" t="s">
        <v>1046</v>
      </c>
      <c r="I102" s="158" t="s">
        <v>1147</v>
      </c>
      <c r="J102" s="159" t="s">
        <v>706</v>
      </c>
      <c r="K102" s="158" t="s">
        <v>1295</v>
      </c>
      <c r="L102" s="158" t="s">
        <v>1046</v>
      </c>
      <c r="M102" s="158" t="s">
        <v>526</v>
      </c>
      <c r="N102" s="158" t="s">
        <v>763</v>
      </c>
      <c r="O102" s="158" t="s">
        <v>458</v>
      </c>
      <c r="P102" s="158" t="s">
        <v>858</v>
      </c>
      <c r="Q102" s="158" t="s">
        <v>1442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1045</v>
      </c>
      <c r="E103" s="158" t="s">
        <v>551</v>
      </c>
      <c r="F103" s="158" t="s">
        <v>526</v>
      </c>
      <c r="G103" s="158" t="s">
        <v>1046</v>
      </c>
      <c r="H103" s="158" t="s">
        <v>1046</v>
      </c>
      <c r="I103" s="158" t="s">
        <v>1148</v>
      </c>
      <c r="J103" s="159" t="s">
        <v>707</v>
      </c>
      <c r="K103" s="158" t="s">
        <v>1296</v>
      </c>
      <c r="L103" s="158" t="s">
        <v>1046</v>
      </c>
      <c r="M103" s="158" t="s">
        <v>526</v>
      </c>
      <c r="N103" s="158" t="s">
        <v>763</v>
      </c>
      <c r="O103" s="158" t="s">
        <v>416</v>
      </c>
      <c r="P103" s="158" t="s">
        <v>859</v>
      </c>
      <c r="Q103" s="158" t="s">
        <v>1389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1045</v>
      </c>
      <c r="E104" s="158" t="s">
        <v>551</v>
      </c>
      <c r="F104" s="158" t="s">
        <v>526</v>
      </c>
      <c r="G104" s="158" t="s">
        <v>1046</v>
      </c>
      <c r="H104" s="158" t="s">
        <v>1046</v>
      </c>
      <c r="I104" s="158" t="s">
        <v>1149</v>
      </c>
      <c r="J104" s="159" t="s">
        <v>708</v>
      </c>
      <c r="K104" s="158" t="s">
        <v>1297</v>
      </c>
      <c r="L104" s="158" t="s">
        <v>1046</v>
      </c>
      <c r="M104" s="158" t="s">
        <v>526</v>
      </c>
      <c r="N104" s="158" t="s">
        <v>763</v>
      </c>
      <c r="O104" s="158" t="s">
        <v>398</v>
      </c>
      <c r="P104" s="158" t="s">
        <v>860</v>
      </c>
      <c r="Q104" s="158" t="s">
        <v>1443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1045</v>
      </c>
      <c r="E105" s="158" t="s">
        <v>551</v>
      </c>
      <c r="F105" s="158" t="s">
        <v>526</v>
      </c>
      <c r="G105" s="158" t="s">
        <v>1046</v>
      </c>
      <c r="H105" s="158" t="s">
        <v>1046</v>
      </c>
      <c r="I105" s="158" t="s">
        <v>1150</v>
      </c>
      <c r="J105" s="159" t="s">
        <v>709</v>
      </c>
      <c r="K105" s="158" t="s">
        <v>1298</v>
      </c>
      <c r="L105" s="158" t="s">
        <v>1046</v>
      </c>
      <c r="M105" s="158" t="s">
        <v>526</v>
      </c>
      <c r="N105" s="158" t="s">
        <v>763</v>
      </c>
      <c r="O105" s="158" t="s">
        <v>463</v>
      </c>
      <c r="P105" s="158" t="s">
        <v>861</v>
      </c>
      <c r="Q105" s="158" t="s">
        <v>1444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1045</v>
      </c>
      <c r="E106" s="158" t="s">
        <v>551</v>
      </c>
      <c r="F106" s="158" t="s">
        <v>526</v>
      </c>
      <c r="G106" s="158" t="s">
        <v>1046</v>
      </c>
      <c r="H106" s="158" t="s">
        <v>1046</v>
      </c>
      <c r="I106" s="158" t="s">
        <v>1151</v>
      </c>
      <c r="J106" s="159" t="s">
        <v>710</v>
      </c>
      <c r="K106" s="158" t="s">
        <v>1299</v>
      </c>
      <c r="L106" s="158" t="s">
        <v>1046</v>
      </c>
      <c r="M106" s="158" t="s">
        <v>526</v>
      </c>
      <c r="N106" s="158" t="s">
        <v>763</v>
      </c>
      <c r="O106" s="158" t="s">
        <v>480</v>
      </c>
      <c r="P106" s="158" t="s">
        <v>862</v>
      </c>
      <c r="Q106" s="158" t="s">
        <v>1445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1045</v>
      </c>
      <c r="E107" s="158" t="s">
        <v>551</v>
      </c>
      <c r="F107" s="158" t="s">
        <v>526</v>
      </c>
      <c r="G107" s="158" t="s">
        <v>1046</v>
      </c>
      <c r="H107" s="158" t="s">
        <v>1046</v>
      </c>
      <c r="I107" s="158" t="s">
        <v>1152</v>
      </c>
      <c r="J107" s="159" t="s">
        <v>711</v>
      </c>
      <c r="K107" s="158" t="s">
        <v>1300</v>
      </c>
      <c r="L107" s="158" t="s">
        <v>1046</v>
      </c>
      <c r="M107" s="158" t="s">
        <v>526</v>
      </c>
      <c r="N107" s="158" t="s">
        <v>763</v>
      </c>
      <c r="O107" s="158" t="s">
        <v>511</v>
      </c>
      <c r="P107" s="158" t="s">
        <v>863</v>
      </c>
      <c r="Q107" s="158" t="s">
        <v>1446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1045</v>
      </c>
      <c r="E108" s="158" t="s">
        <v>551</v>
      </c>
      <c r="F108" s="158" t="s">
        <v>526</v>
      </c>
      <c r="G108" s="158" t="s">
        <v>1046</v>
      </c>
      <c r="H108" s="158" t="s">
        <v>1046</v>
      </c>
      <c r="I108" s="158" t="s">
        <v>1153</v>
      </c>
      <c r="J108" s="159" t="s">
        <v>712</v>
      </c>
      <c r="K108" s="158" t="s">
        <v>1301</v>
      </c>
      <c r="L108" s="158" t="s">
        <v>1046</v>
      </c>
      <c r="M108" s="158" t="s">
        <v>526</v>
      </c>
      <c r="N108" s="158" t="s">
        <v>763</v>
      </c>
      <c r="O108" s="158" t="s">
        <v>522</v>
      </c>
      <c r="P108" s="158" t="s">
        <v>864</v>
      </c>
      <c r="Q108" s="158" t="s">
        <v>1447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1045</v>
      </c>
      <c r="E109" s="158" t="s">
        <v>551</v>
      </c>
      <c r="F109" s="158" t="s">
        <v>526</v>
      </c>
      <c r="G109" s="158" t="s">
        <v>1046</v>
      </c>
      <c r="H109" s="158" t="s">
        <v>1046</v>
      </c>
      <c r="I109" s="158" t="s">
        <v>1154</v>
      </c>
      <c r="J109" s="159" t="s">
        <v>713</v>
      </c>
      <c r="K109" s="158" t="s">
        <v>1302</v>
      </c>
      <c r="L109" s="158" t="s">
        <v>1046</v>
      </c>
      <c r="M109" s="158" t="s">
        <v>526</v>
      </c>
      <c r="N109" s="158" t="s">
        <v>763</v>
      </c>
      <c r="O109" s="158" t="s">
        <v>491</v>
      </c>
      <c r="P109" s="158" t="s">
        <v>865</v>
      </c>
      <c r="Q109" s="158" t="s">
        <v>1448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1045</v>
      </c>
      <c r="E110" s="158" t="s">
        <v>551</v>
      </c>
      <c r="F110" s="158" t="s">
        <v>526</v>
      </c>
      <c r="G110" s="158" t="s">
        <v>1046</v>
      </c>
      <c r="H110" s="158" t="s">
        <v>1046</v>
      </c>
      <c r="I110" s="158" t="s">
        <v>1155</v>
      </c>
      <c r="J110" s="159" t="s">
        <v>714</v>
      </c>
      <c r="K110" s="158" t="s">
        <v>1303</v>
      </c>
      <c r="L110" s="158" t="s">
        <v>1046</v>
      </c>
      <c r="M110" s="158" t="s">
        <v>526</v>
      </c>
      <c r="N110" s="158" t="s">
        <v>763</v>
      </c>
      <c r="O110" s="158" t="s">
        <v>445</v>
      </c>
      <c r="P110" s="158" t="s">
        <v>866</v>
      </c>
      <c r="Q110" s="158" t="s">
        <v>1449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1045</v>
      </c>
      <c r="E111" s="158" t="s">
        <v>551</v>
      </c>
      <c r="F111" s="158" t="s">
        <v>526</v>
      </c>
      <c r="G111" s="158" t="s">
        <v>1046</v>
      </c>
      <c r="H111" s="158" t="s">
        <v>1046</v>
      </c>
      <c r="I111" s="158" t="s">
        <v>1156</v>
      </c>
      <c r="J111" s="159" t="s">
        <v>715</v>
      </c>
      <c r="K111" s="158" t="s">
        <v>1304</v>
      </c>
      <c r="L111" s="158" t="s">
        <v>1046</v>
      </c>
      <c r="M111" s="158" t="s">
        <v>526</v>
      </c>
      <c r="N111" s="158" t="s">
        <v>763</v>
      </c>
      <c r="O111" s="158" t="s">
        <v>477</v>
      </c>
      <c r="P111" s="158" t="s">
        <v>867</v>
      </c>
      <c r="Q111" s="158" t="s">
        <v>1450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1045</v>
      </c>
      <c r="E112" s="158" t="s">
        <v>551</v>
      </c>
      <c r="F112" s="158" t="s">
        <v>526</v>
      </c>
      <c r="G112" s="158" t="s">
        <v>1046</v>
      </c>
      <c r="H112" s="158" t="s">
        <v>1046</v>
      </c>
      <c r="I112" s="158" t="s">
        <v>1157</v>
      </c>
      <c r="J112" s="159" t="s">
        <v>716</v>
      </c>
      <c r="K112" s="158" t="s">
        <v>1305</v>
      </c>
      <c r="L112" s="158" t="s">
        <v>1046</v>
      </c>
      <c r="M112" s="158" t="s">
        <v>526</v>
      </c>
      <c r="N112" s="158" t="s">
        <v>763</v>
      </c>
      <c r="O112" s="158" t="s">
        <v>388</v>
      </c>
      <c r="P112" s="158" t="s">
        <v>868</v>
      </c>
      <c r="Q112" s="158" t="s">
        <v>1451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1045</v>
      </c>
      <c r="E113" s="158" t="s">
        <v>551</v>
      </c>
      <c r="F113" s="158" t="s">
        <v>526</v>
      </c>
      <c r="G113" s="158" t="s">
        <v>1046</v>
      </c>
      <c r="H113" s="158" t="s">
        <v>1046</v>
      </c>
      <c r="I113" s="158" t="s">
        <v>1158</v>
      </c>
      <c r="J113" s="159" t="s">
        <v>717</v>
      </c>
      <c r="K113" s="158" t="s">
        <v>1306</v>
      </c>
      <c r="L113" s="158" t="s">
        <v>1046</v>
      </c>
      <c r="M113" s="158" t="s">
        <v>526</v>
      </c>
      <c r="N113" s="158" t="s">
        <v>763</v>
      </c>
      <c r="O113" s="158" t="s">
        <v>453</v>
      </c>
      <c r="P113" s="158" t="s">
        <v>869</v>
      </c>
      <c r="Q113" s="158" t="s">
        <v>1452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1045</v>
      </c>
      <c r="E114" s="158" t="s">
        <v>551</v>
      </c>
      <c r="F114" s="158" t="s">
        <v>526</v>
      </c>
      <c r="G114" s="158" t="s">
        <v>1046</v>
      </c>
      <c r="H114" s="158" t="s">
        <v>1046</v>
      </c>
      <c r="I114" s="158" t="s">
        <v>1159</v>
      </c>
      <c r="J114" s="159" t="s">
        <v>718</v>
      </c>
      <c r="K114" s="158" t="s">
        <v>1307</v>
      </c>
      <c r="L114" s="158" t="s">
        <v>1046</v>
      </c>
      <c r="M114" s="158" t="s">
        <v>526</v>
      </c>
      <c r="N114" s="158" t="s">
        <v>763</v>
      </c>
      <c r="O114" s="158" t="s">
        <v>481</v>
      </c>
      <c r="P114" s="158" t="s">
        <v>870</v>
      </c>
      <c r="Q114" s="158" t="s">
        <v>1453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1045</v>
      </c>
      <c r="E115" s="158" t="s">
        <v>551</v>
      </c>
      <c r="F115" s="158" t="s">
        <v>526</v>
      </c>
      <c r="G115" s="158" t="s">
        <v>1046</v>
      </c>
      <c r="H115" s="158" t="s">
        <v>1046</v>
      </c>
      <c r="I115" s="158" t="s">
        <v>1160</v>
      </c>
      <c r="J115" s="159" t="s">
        <v>677</v>
      </c>
      <c r="K115" s="158" t="s">
        <v>1308</v>
      </c>
      <c r="L115" s="158" t="s">
        <v>1046</v>
      </c>
      <c r="M115" s="158" t="s">
        <v>526</v>
      </c>
      <c r="N115" s="158" t="s">
        <v>763</v>
      </c>
      <c r="O115" s="158" t="s">
        <v>402</v>
      </c>
      <c r="P115" s="158" t="s">
        <v>829</v>
      </c>
      <c r="Q115" s="158" t="s">
        <v>1454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1045</v>
      </c>
      <c r="E116" s="158" t="s">
        <v>551</v>
      </c>
      <c r="F116" s="158" t="s">
        <v>526</v>
      </c>
      <c r="G116" s="158" t="s">
        <v>1046</v>
      </c>
      <c r="H116" s="158" t="s">
        <v>1046</v>
      </c>
      <c r="I116" s="158" t="s">
        <v>1161</v>
      </c>
      <c r="J116" s="159" t="s">
        <v>720</v>
      </c>
      <c r="K116" s="158" t="s">
        <v>1309</v>
      </c>
      <c r="L116" s="158" t="s">
        <v>1046</v>
      </c>
      <c r="M116" s="158" t="s">
        <v>526</v>
      </c>
      <c r="N116" s="158" t="s">
        <v>763</v>
      </c>
      <c r="O116" s="158" t="s">
        <v>483</v>
      </c>
      <c r="P116" s="158" t="s">
        <v>872</v>
      </c>
      <c r="Q116" s="158" t="s">
        <v>1455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1045</v>
      </c>
      <c r="E117" s="158" t="s">
        <v>551</v>
      </c>
      <c r="F117" s="158" t="s">
        <v>526</v>
      </c>
      <c r="G117" s="158" t="s">
        <v>1046</v>
      </c>
      <c r="H117" s="158" t="s">
        <v>1046</v>
      </c>
      <c r="I117" s="158" t="s">
        <v>1162</v>
      </c>
      <c r="J117" s="159" t="s">
        <v>721</v>
      </c>
      <c r="K117" s="158" t="s">
        <v>1310</v>
      </c>
      <c r="L117" s="158" t="s">
        <v>1046</v>
      </c>
      <c r="M117" s="158" t="s">
        <v>526</v>
      </c>
      <c r="N117" s="158" t="s">
        <v>763</v>
      </c>
      <c r="O117" s="158" t="s">
        <v>389</v>
      </c>
      <c r="P117" s="158" t="s">
        <v>873</v>
      </c>
      <c r="Q117" s="158" t="s">
        <v>1456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1045</v>
      </c>
      <c r="E118" s="158" t="s">
        <v>551</v>
      </c>
      <c r="F118" s="158" t="s">
        <v>526</v>
      </c>
      <c r="G118" s="158" t="s">
        <v>1046</v>
      </c>
      <c r="H118" s="158" t="s">
        <v>1046</v>
      </c>
      <c r="I118" s="158" t="s">
        <v>1163</v>
      </c>
      <c r="J118" s="159" t="s">
        <v>722</v>
      </c>
      <c r="K118" s="158" t="s">
        <v>1311</v>
      </c>
      <c r="L118" s="158" t="s">
        <v>1046</v>
      </c>
      <c r="M118" s="158" t="s">
        <v>526</v>
      </c>
      <c r="N118" s="158" t="s">
        <v>763</v>
      </c>
      <c r="O118" s="158" t="s">
        <v>403</v>
      </c>
      <c r="P118" s="158" t="s">
        <v>874</v>
      </c>
      <c r="Q118" s="158" t="s">
        <v>1389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1045</v>
      </c>
      <c r="E119" s="158" t="s">
        <v>551</v>
      </c>
      <c r="F119" s="158" t="s">
        <v>526</v>
      </c>
      <c r="G119" s="158" t="s">
        <v>1046</v>
      </c>
      <c r="H119" s="158" t="s">
        <v>1046</v>
      </c>
      <c r="I119" s="158" t="s">
        <v>1164</v>
      </c>
      <c r="J119" s="159" t="s">
        <v>723</v>
      </c>
      <c r="K119" s="158" t="s">
        <v>1312</v>
      </c>
      <c r="L119" s="158" t="s">
        <v>1046</v>
      </c>
      <c r="M119" s="158" t="s">
        <v>526</v>
      </c>
      <c r="N119" s="158" t="s">
        <v>763</v>
      </c>
      <c r="O119" s="158" t="s">
        <v>454</v>
      </c>
      <c r="P119" s="158" t="s">
        <v>875</v>
      </c>
      <c r="Q119" s="158" t="s">
        <v>1457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1045</v>
      </c>
      <c r="E120" s="158" t="s">
        <v>551</v>
      </c>
      <c r="F120" s="158" t="s">
        <v>526</v>
      </c>
      <c r="G120" s="158" t="s">
        <v>1046</v>
      </c>
      <c r="H120" s="158" t="s">
        <v>1046</v>
      </c>
      <c r="I120" s="158" t="s">
        <v>1165</v>
      </c>
      <c r="J120" s="159" t="s">
        <v>724</v>
      </c>
      <c r="K120" s="158" t="s">
        <v>1313</v>
      </c>
      <c r="L120" s="158" t="s">
        <v>1046</v>
      </c>
      <c r="M120" s="158" t="s">
        <v>526</v>
      </c>
      <c r="N120" s="158" t="s">
        <v>763</v>
      </c>
      <c r="O120" s="158" t="s">
        <v>386</v>
      </c>
      <c r="P120" s="158" t="s">
        <v>876</v>
      </c>
      <c r="Q120" s="158" t="s">
        <v>1458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1045</v>
      </c>
      <c r="E121" s="158" t="s">
        <v>551</v>
      </c>
      <c r="F121" s="158" t="s">
        <v>526</v>
      </c>
      <c r="G121" s="158" t="s">
        <v>1046</v>
      </c>
      <c r="H121" s="158" t="s">
        <v>1046</v>
      </c>
      <c r="I121" s="158" t="s">
        <v>1166</v>
      </c>
      <c r="J121" s="159" t="s">
        <v>725</v>
      </c>
      <c r="K121" s="158" t="s">
        <v>1314</v>
      </c>
      <c r="L121" s="158" t="s">
        <v>1046</v>
      </c>
      <c r="M121" s="158" t="s">
        <v>526</v>
      </c>
      <c r="N121" s="158" t="s">
        <v>763</v>
      </c>
      <c r="O121" s="158" t="s">
        <v>451</v>
      </c>
      <c r="P121" s="158" t="s">
        <v>877</v>
      </c>
      <c r="Q121" s="158" t="s">
        <v>1459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1045</v>
      </c>
      <c r="E122" s="158" t="s">
        <v>551</v>
      </c>
      <c r="F122" s="158" t="s">
        <v>526</v>
      </c>
      <c r="G122" s="158" t="s">
        <v>1046</v>
      </c>
      <c r="H122" s="158" t="s">
        <v>1046</v>
      </c>
      <c r="I122" s="158" t="s">
        <v>1167</v>
      </c>
      <c r="J122" s="159" t="s">
        <v>726</v>
      </c>
      <c r="K122" s="158" t="s">
        <v>1315</v>
      </c>
      <c r="L122" s="158" t="s">
        <v>1046</v>
      </c>
      <c r="M122" s="158" t="s">
        <v>526</v>
      </c>
      <c r="N122" s="158" t="s">
        <v>763</v>
      </c>
      <c r="O122" s="158" t="s">
        <v>419</v>
      </c>
      <c r="P122" s="158" t="s">
        <v>878</v>
      </c>
      <c r="Q122" s="158" t="s">
        <v>1460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1045</v>
      </c>
      <c r="E123" s="158" t="s">
        <v>551</v>
      </c>
      <c r="F123" s="158" t="s">
        <v>526</v>
      </c>
      <c r="G123" s="158" t="s">
        <v>1046</v>
      </c>
      <c r="H123" s="158" t="s">
        <v>1046</v>
      </c>
      <c r="I123" s="158" t="s">
        <v>1168</v>
      </c>
      <c r="J123" s="159" t="s">
        <v>727</v>
      </c>
      <c r="K123" s="158" t="s">
        <v>1316</v>
      </c>
      <c r="L123" s="158" t="s">
        <v>1046</v>
      </c>
      <c r="M123" s="158" t="s">
        <v>526</v>
      </c>
      <c r="N123" s="158" t="s">
        <v>763</v>
      </c>
      <c r="O123" s="158" t="s">
        <v>489</v>
      </c>
      <c r="P123" s="158" t="s">
        <v>879</v>
      </c>
      <c r="Q123" s="158" t="s">
        <v>1461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1045</v>
      </c>
      <c r="E124" s="158" t="s">
        <v>551</v>
      </c>
      <c r="F124" s="158" t="s">
        <v>526</v>
      </c>
      <c r="G124" s="158" t="s">
        <v>1046</v>
      </c>
      <c r="H124" s="158" t="s">
        <v>1046</v>
      </c>
      <c r="I124" s="158" t="s">
        <v>1169</v>
      </c>
      <c r="J124" s="159" t="s">
        <v>728</v>
      </c>
      <c r="K124" s="158" t="s">
        <v>1317</v>
      </c>
      <c r="L124" s="158" t="s">
        <v>1046</v>
      </c>
      <c r="M124" s="158" t="s">
        <v>526</v>
      </c>
      <c r="N124" s="158" t="s">
        <v>763</v>
      </c>
      <c r="O124" s="158" t="s">
        <v>397</v>
      </c>
      <c r="P124" s="158" t="s">
        <v>880</v>
      </c>
      <c r="Q124" s="158" t="s">
        <v>1462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1045</v>
      </c>
      <c r="E125" s="158" t="s">
        <v>551</v>
      </c>
      <c r="F125" s="158" t="s">
        <v>526</v>
      </c>
      <c r="G125" s="158" t="s">
        <v>1046</v>
      </c>
      <c r="H125" s="158" t="s">
        <v>1046</v>
      </c>
      <c r="I125" s="158" t="s">
        <v>1170</v>
      </c>
      <c r="J125" s="159" t="s">
        <v>729</v>
      </c>
      <c r="K125" s="158" t="s">
        <v>1318</v>
      </c>
      <c r="L125" s="158" t="s">
        <v>1046</v>
      </c>
      <c r="M125" s="158" t="s">
        <v>526</v>
      </c>
      <c r="N125" s="158" t="s">
        <v>763</v>
      </c>
      <c r="O125" s="158" t="s">
        <v>392</v>
      </c>
      <c r="P125" s="158" t="s">
        <v>881</v>
      </c>
      <c r="Q125" s="158" t="s">
        <v>1463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1045</v>
      </c>
      <c r="E126" s="158" t="s">
        <v>551</v>
      </c>
      <c r="F126" s="158" t="s">
        <v>526</v>
      </c>
      <c r="G126" s="158" t="s">
        <v>1046</v>
      </c>
      <c r="H126" s="158" t="s">
        <v>1046</v>
      </c>
      <c r="I126" s="158" t="s">
        <v>1171</v>
      </c>
      <c r="J126" s="159" t="s">
        <v>730</v>
      </c>
      <c r="K126" s="158" t="s">
        <v>1319</v>
      </c>
      <c r="L126" s="158" t="s">
        <v>1046</v>
      </c>
      <c r="M126" s="158" t="s">
        <v>526</v>
      </c>
      <c r="N126" s="158" t="s">
        <v>763</v>
      </c>
      <c r="O126" s="158" t="s">
        <v>401</v>
      </c>
      <c r="P126" s="158" t="s">
        <v>882</v>
      </c>
      <c r="Q126" s="158" t="s">
        <v>1464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1045</v>
      </c>
      <c r="E127" s="158" t="s">
        <v>551</v>
      </c>
      <c r="F127" s="158" t="s">
        <v>526</v>
      </c>
      <c r="G127" s="158" t="s">
        <v>1046</v>
      </c>
      <c r="H127" s="158" t="s">
        <v>1046</v>
      </c>
      <c r="I127" s="158" t="s">
        <v>1172</v>
      </c>
      <c r="J127" s="159" t="s">
        <v>731</v>
      </c>
      <c r="K127" s="158" t="s">
        <v>1320</v>
      </c>
      <c r="L127" s="158" t="s">
        <v>1046</v>
      </c>
      <c r="M127" s="158" t="s">
        <v>526</v>
      </c>
      <c r="N127" s="158" t="s">
        <v>763</v>
      </c>
      <c r="O127" s="158" t="s">
        <v>436</v>
      </c>
      <c r="P127" s="158" t="s">
        <v>883</v>
      </c>
      <c r="Q127" s="158" t="s">
        <v>1465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1045</v>
      </c>
      <c r="E128" s="158" t="s">
        <v>551</v>
      </c>
      <c r="F128" s="158" t="s">
        <v>526</v>
      </c>
      <c r="G128" s="158" t="s">
        <v>1046</v>
      </c>
      <c r="H128" s="158" t="s">
        <v>1046</v>
      </c>
      <c r="I128" s="158" t="s">
        <v>1173</v>
      </c>
      <c r="J128" s="159" t="s">
        <v>732</v>
      </c>
      <c r="K128" s="158" t="s">
        <v>1321</v>
      </c>
      <c r="L128" s="158" t="s">
        <v>1046</v>
      </c>
      <c r="M128" s="158" t="s">
        <v>526</v>
      </c>
      <c r="N128" s="158" t="s">
        <v>763</v>
      </c>
      <c r="O128" s="158" t="s">
        <v>432</v>
      </c>
      <c r="P128" s="158" t="s">
        <v>884</v>
      </c>
      <c r="Q128" s="158" t="s">
        <v>1466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1045</v>
      </c>
      <c r="E129" s="158" t="s">
        <v>551</v>
      </c>
      <c r="F129" s="158" t="s">
        <v>526</v>
      </c>
      <c r="G129" s="158" t="s">
        <v>1046</v>
      </c>
      <c r="H129" s="158" t="s">
        <v>1046</v>
      </c>
      <c r="I129" s="158" t="s">
        <v>1174</v>
      </c>
      <c r="J129" s="159" t="s">
        <v>733</v>
      </c>
      <c r="K129" s="158" t="s">
        <v>1322</v>
      </c>
      <c r="L129" s="158" t="s">
        <v>1046</v>
      </c>
      <c r="M129" s="158" t="s">
        <v>526</v>
      </c>
      <c r="N129" s="158" t="s">
        <v>763</v>
      </c>
      <c r="O129" s="158" t="s">
        <v>507</v>
      </c>
      <c r="P129" s="158" t="s">
        <v>885</v>
      </c>
      <c r="Q129" s="158" t="s">
        <v>1467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1045</v>
      </c>
      <c r="E130" s="158" t="s">
        <v>551</v>
      </c>
      <c r="F130" s="158" t="s">
        <v>526</v>
      </c>
      <c r="G130" s="158" t="s">
        <v>1046</v>
      </c>
      <c r="H130" s="158" t="s">
        <v>1046</v>
      </c>
      <c r="I130" s="158" t="s">
        <v>1175</v>
      </c>
      <c r="J130" s="159" t="s">
        <v>734</v>
      </c>
      <c r="K130" s="158" t="s">
        <v>1323</v>
      </c>
      <c r="L130" s="158" t="s">
        <v>1046</v>
      </c>
      <c r="M130" s="158" t="s">
        <v>526</v>
      </c>
      <c r="N130" s="158" t="s">
        <v>763</v>
      </c>
      <c r="O130" s="158" t="s">
        <v>518</v>
      </c>
      <c r="P130" s="158" t="s">
        <v>886</v>
      </c>
      <c r="Q130" s="158" t="s">
        <v>1468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1045</v>
      </c>
      <c r="E131" s="158" t="s">
        <v>551</v>
      </c>
      <c r="F131" s="158" t="s">
        <v>526</v>
      </c>
      <c r="G131" s="158" t="s">
        <v>1046</v>
      </c>
      <c r="H131" s="158" t="s">
        <v>1046</v>
      </c>
      <c r="I131" s="158" t="s">
        <v>1176</v>
      </c>
      <c r="J131" s="159" t="s">
        <v>735</v>
      </c>
      <c r="K131" s="158" t="s">
        <v>1324</v>
      </c>
      <c r="L131" s="158" t="s">
        <v>1046</v>
      </c>
      <c r="M131" s="158" t="s">
        <v>526</v>
      </c>
      <c r="N131" s="158" t="s">
        <v>763</v>
      </c>
      <c r="O131" s="158" t="s">
        <v>413</v>
      </c>
      <c r="P131" s="158" t="s">
        <v>887</v>
      </c>
      <c r="Q131" s="158" t="s">
        <v>1469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1045</v>
      </c>
      <c r="E132" s="158" t="s">
        <v>551</v>
      </c>
      <c r="F132" s="158" t="s">
        <v>526</v>
      </c>
      <c r="G132" s="158" t="s">
        <v>1046</v>
      </c>
      <c r="H132" s="158" t="s">
        <v>1046</v>
      </c>
      <c r="I132" s="158" t="s">
        <v>1177</v>
      </c>
      <c r="J132" s="159" t="s">
        <v>736</v>
      </c>
      <c r="K132" s="158" t="s">
        <v>1325</v>
      </c>
      <c r="L132" s="158" t="s">
        <v>1046</v>
      </c>
      <c r="M132" s="158" t="s">
        <v>526</v>
      </c>
      <c r="N132" s="158" t="s">
        <v>763</v>
      </c>
      <c r="O132" s="158" t="s">
        <v>447</v>
      </c>
      <c r="P132" s="158" t="s">
        <v>888</v>
      </c>
      <c r="Q132" s="158" t="s">
        <v>1470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1045</v>
      </c>
      <c r="E133" s="158" t="s">
        <v>551</v>
      </c>
      <c r="F133" s="158" t="s">
        <v>526</v>
      </c>
      <c r="G133" s="158" t="s">
        <v>1046</v>
      </c>
      <c r="H133" s="158" t="s">
        <v>1046</v>
      </c>
      <c r="I133" s="158" t="s">
        <v>1178</v>
      </c>
      <c r="J133" s="159" t="s">
        <v>737</v>
      </c>
      <c r="K133" s="158" t="s">
        <v>1326</v>
      </c>
      <c r="L133" s="158" t="s">
        <v>1046</v>
      </c>
      <c r="M133" s="158" t="s">
        <v>526</v>
      </c>
      <c r="N133" s="158" t="s">
        <v>763</v>
      </c>
      <c r="O133" s="158" t="s">
        <v>499</v>
      </c>
      <c r="P133" s="158" t="s">
        <v>889</v>
      </c>
      <c r="Q133" s="158" t="s">
        <v>1471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1045</v>
      </c>
      <c r="E134" s="158" t="s">
        <v>551</v>
      </c>
      <c r="F134" s="158" t="s">
        <v>526</v>
      </c>
      <c r="G134" s="158" t="s">
        <v>1046</v>
      </c>
      <c r="H134" s="158" t="s">
        <v>1046</v>
      </c>
      <c r="I134" s="158" t="s">
        <v>1179</v>
      </c>
      <c r="J134" s="159" t="s">
        <v>738</v>
      </c>
      <c r="K134" s="158" t="s">
        <v>1327</v>
      </c>
      <c r="L134" s="158" t="s">
        <v>1046</v>
      </c>
      <c r="M134" s="158" t="s">
        <v>526</v>
      </c>
      <c r="N134" s="158" t="s">
        <v>763</v>
      </c>
      <c r="O134" s="158" t="s">
        <v>513</v>
      </c>
      <c r="P134" s="158" t="s">
        <v>890</v>
      </c>
      <c r="Q134" s="158" t="s">
        <v>1472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1045</v>
      </c>
      <c r="E135" s="158" t="s">
        <v>551</v>
      </c>
      <c r="F135" s="158" t="s">
        <v>526</v>
      </c>
      <c r="G135" s="158" t="s">
        <v>1046</v>
      </c>
      <c r="H135" s="158" t="s">
        <v>1046</v>
      </c>
      <c r="I135" s="158" t="s">
        <v>1180</v>
      </c>
      <c r="J135" s="159" t="s">
        <v>739</v>
      </c>
      <c r="K135" s="158" t="s">
        <v>1328</v>
      </c>
      <c r="L135" s="158" t="s">
        <v>1046</v>
      </c>
      <c r="M135" s="158" t="s">
        <v>526</v>
      </c>
      <c r="N135" s="158" t="s">
        <v>763</v>
      </c>
      <c r="O135" s="158" t="s">
        <v>464</v>
      </c>
      <c r="P135" s="158" t="s">
        <v>891</v>
      </c>
      <c r="Q135" s="158" t="s">
        <v>1473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1045</v>
      </c>
      <c r="E136" s="158" t="s">
        <v>551</v>
      </c>
      <c r="F136" s="158" t="s">
        <v>526</v>
      </c>
      <c r="G136" s="158" t="s">
        <v>1046</v>
      </c>
      <c r="H136" s="158" t="s">
        <v>1046</v>
      </c>
      <c r="I136" s="158" t="s">
        <v>1181</v>
      </c>
      <c r="J136" s="159" t="s">
        <v>740</v>
      </c>
      <c r="K136" s="158" t="s">
        <v>1329</v>
      </c>
      <c r="L136" s="158" t="s">
        <v>1046</v>
      </c>
      <c r="M136" s="158" t="s">
        <v>526</v>
      </c>
      <c r="N136" s="158" t="s">
        <v>763</v>
      </c>
      <c r="O136" s="158" t="s">
        <v>384</v>
      </c>
      <c r="P136" s="158" t="s">
        <v>892</v>
      </c>
      <c r="Q136" s="158" t="s">
        <v>1474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1045</v>
      </c>
      <c r="E137" s="158" t="s">
        <v>551</v>
      </c>
      <c r="F137" s="158" t="s">
        <v>526</v>
      </c>
      <c r="G137" s="158" t="s">
        <v>1046</v>
      </c>
      <c r="H137" s="158" t="s">
        <v>1046</v>
      </c>
      <c r="I137" s="158" t="s">
        <v>1182</v>
      </c>
      <c r="J137" s="159" t="s">
        <v>741</v>
      </c>
      <c r="K137" s="158" t="s">
        <v>1330</v>
      </c>
      <c r="L137" s="158" t="s">
        <v>1046</v>
      </c>
      <c r="M137" s="158" t="s">
        <v>526</v>
      </c>
      <c r="N137" s="158" t="s">
        <v>763</v>
      </c>
      <c r="O137" s="158" t="s">
        <v>476</v>
      </c>
      <c r="P137" s="158" t="s">
        <v>893</v>
      </c>
      <c r="Q137" s="158" t="s">
        <v>1475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1045</v>
      </c>
      <c r="E138" s="158" t="s">
        <v>551</v>
      </c>
      <c r="F138" s="158" t="s">
        <v>526</v>
      </c>
      <c r="G138" s="158" t="s">
        <v>1046</v>
      </c>
      <c r="H138" s="158" t="s">
        <v>1046</v>
      </c>
      <c r="I138" s="158" t="s">
        <v>1183</v>
      </c>
      <c r="J138" s="159" t="s">
        <v>742</v>
      </c>
      <c r="K138" s="158" t="s">
        <v>1331</v>
      </c>
      <c r="L138" s="158" t="s">
        <v>1046</v>
      </c>
      <c r="M138" s="158" t="s">
        <v>526</v>
      </c>
      <c r="N138" s="158" t="s">
        <v>763</v>
      </c>
      <c r="O138" s="158" t="s">
        <v>506</v>
      </c>
      <c r="P138" s="158" t="s">
        <v>894</v>
      </c>
      <c r="Q138" s="158" t="s">
        <v>1476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1045</v>
      </c>
      <c r="E139" s="158" t="s">
        <v>551</v>
      </c>
      <c r="F139" s="158" t="s">
        <v>526</v>
      </c>
      <c r="G139" s="158" t="s">
        <v>1046</v>
      </c>
      <c r="H139" s="158" t="s">
        <v>1046</v>
      </c>
      <c r="I139" s="158" t="s">
        <v>1184</v>
      </c>
      <c r="J139" s="159" t="s">
        <v>743</v>
      </c>
      <c r="K139" s="158" t="s">
        <v>1332</v>
      </c>
      <c r="L139" s="158" t="s">
        <v>1046</v>
      </c>
      <c r="M139" s="158" t="s">
        <v>526</v>
      </c>
      <c r="N139" s="158" t="s">
        <v>763</v>
      </c>
      <c r="O139" s="158" t="s">
        <v>426</v>
      </c>
      <c r="P139" s="158" t="s">
        <v>895</v>
      </c>
      <c r="Q139" s="158" t="s">
        <v>1477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1045</v>
      </c>
      <c r="E140" s="158" t="s">
        <v>551</v>
      </c>
      <c r="F140" s="158" t="s">
        <v>526</v>
      </c>
      <c r="G140" s="158" t="s">
        <v>1046</v>
      </c>
      <c r="H140" s="158" t="s">
        <v>1046</v>
      </c>
      <c r="I140" s="158" t="s">
        <v>1185</v>
      </c>
      <c r="J140" s="159" t="s">
        <v>744</v>
      </c>
      <c r="K140" s="158" t="s">
        <v>1333</v>
      </c>
      <c r="L140" s="158" t="s">
        <v>1046</v>
      </c>
      <c r="M140" s="158" t="s">
        <v>526</v>
      </c>
      <c r="N140" s="158" t="s">
        <v>763</v>
      </c>
      <c r="O140" s="158" t="s">
        <v>523</v>
      </c>
      <c r="P140" s="158" t="s">
        <v>896</v>
      </c>
      <c r="Q140" s="158" t="s">
        <v>1478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1045</v>
      </c>
      <c r="E141" s="158" t="s">
        <v>551</v>
      </c>
      <c r="F141" s="158" t="s">
        <v>526</v>
      </c>
      <c r="G141" s="158" t="s">
        <v>1046</v>
      </c>
      <c r="H141" s="158" t="s">
        <v>1046</v>
      </c>
      <c r="I141" s="158" t="s">
        <v>1186</v>
      </c>
      <c r="J141" s="159" t="s">
        <v>745</v>
      </c>
      <c r="K141" s="158" t="s">
        <v>1334</v>
      </c>
      <c r="L141" s="158" t="s">
        <v>1046</v>
      </c>
      <c r="M141" s="158" t="s">
        <v>526</v>
      </c>
      <c r="N141" s="158" t="s">
        <v>763</v>
      </c>
      <c r="O141" s="158" t="s">
        <v>443</v>
      </c>
      <c r="P141" s="158" t="s">
        <v>897</v>
      </c>
      <c r="Q141" s="158" t="s">
        <v>1479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1045</v>
      </c>
      <c r="E142" s="158" t="s">
        <v>551</v>
      </c>
      <c r="F142" s="158" t="s">
        <v>526</v>
      </c>
      <c r="G142" s="158" t="s">
        <v>1046</v>
      </c>
      <c r="H142" s="158" t="s">
        <v>1046</v>
      </c>
      <c r="I142" s="158" t="s">
        <v>1187</v>
      </c>
      <c r="J142" s="159" t="s">
        <v>746</v>
      </c>
      <c r="K142" s="158" t="s">
        <v>1335</v>
      </c>
      <c r="L142" s="158" t="s">
        <v>1046</v>
      </c>
      <c r="M142" s="158" t="s">
        <v>526</v>
      </c>
      <c r="N142" s="158" t="s">
        <v>763</v>
      </c>
      <c r="O142" s="158" t="s">
        <v>498</v>
      </c>
      <c r="P142" s="158" t="s">
        <v>898</v>
      </c>
      <c r="Q142" s="158" t="s">
        <v>1480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1045</v>
      </c>
      <c r="E143" s="158" t="s">
        <v>551</v>
      </c>
      <c r="F143" s="158" t="s">
        <v>526</v>
      </c>
      <c r="G143" s="158" t="s">
        <v>1046</v>
      </c>
      <c r="H143" s="158" t="s">
        <v>1046</v>
      </c>
      <c r="I143" s="158" t="s">
        <v>1188</v>
      </c>
      <c r="J143" s="159" t="s">
        <v>747</v>
      </c>
      <c r="K143" s="158" t="s">
        <v>1336</v>
      </c>
      <c r="L143" s="158" t="s">
        <v>1046</v>
      </c>
      <c r="M143" s="158" t="s">
        <v>526</v>
      </c>
      <c r="N143" s="158" t="s">
        <v>763</v>
      </c>
      <c r="O143" s="158" t="s">
        <v>485</v>
      </c>
      <c r="P143" s="158" t="s">
        <v>899</v>
      </c>
      <c r="Q143" s="158" t="s">
        <v>1481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1045</v>
      </c>
      <c r="E144" s="158" t="s">
        <v>551</v>
      </c>
      <c r="F144" s="158" t="s">
        <v>526</v>
      </c>
      <c r="G144" s="158" t="s">
        <v>1046</v>
      </c>
      <c r="H144" s="158" t="s">
        <v>1046</v>
      </c>
      <c r="I144" s="158" t="s">
        <v>1189</v>
      </c>
      <c r="J144" s="159" t="s">
        <v>748</v>
      </c>
      <c r="K144" s="158" t="s">
        <v>1337</v>
      </c>
      <c r="L144" s="158" t="s">
        <v>1046</v>
      </c>
      <c r="M144" s="158" t="s">
        <v>526</v>
      </c>
      <c r="N144" s="158" t="s">
        <v>763</v>
      </c>
      <c r="O144" s="158" t="s">
        <v>520</v>
      </c>
      <c r="P144" s="158" t="s">
        <v>900</v>
      </c>
      <c r="Q144" s="158" t="s">
        <v>1482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1045</v>
      </c>
      <c r="E145" s="158" t="s">
        <v>551</v>
      </c>
      <c r="F145" s="158" t="s">
        <v>526</v>
      </c>
      <c r="G145" s="158" t="s">
        <v>1046</v>
      </c>
      <c r="H145" s="158" t="s">
        <v>1046</v>
      </c>
      <c r="I145" s="158" t="s">
        <v>1190</v>
      </c>
      <c r="J145" s="159" t="s">
        <v>749</v>
      </c>
      <c r="K145" s="158" t="s">
        <v>1338</v>
      </c>
      <c r="L145" s="158" t="s">
        <v>1046</v>
      </c>
      <c r="M145" s="158" t="s">
        <v>526</v>
      </c>
      <c r="N145" s="158" t="s">
        <v>763</v>
      </c>
      <c r="O145" s="158" t="s">
        <v>427</v>
      </c>
      <c r="P145" s="158" t="s">
        <v>901</v>
      </c>
      <c r="Q145" s="158" t="s">
        <v>1483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1045</v>
      </c>
      <c r="E146" s="158" t="s">
        <v>551</v>
      </c>
      <c r="F146" s="158" t="s">
        <v>526</v>
      </c>
      <c r="G146" s="158" t="s">
        <v>1046</v>
      </c>
      <c r="H146" s="158" t="s">
        <v>1046</v>
      </c>
      <c r="I146" s="158" t="s">
        <v>1191</v>
      </c>
      <c r="J146" s="159" t="s">
        <v>750</v>
      </c>
      <c r="K146" s="158" t="s">
        <v>1339</v>
      </c>
      <c r="L146" s="158" t="s">
        <v>1046</v>
      </c>
      <c r="M146" s="158" t="s">
        <v>526</v>
      </c>
      <c r="N146" s="158" t="s">
        <v>763</v>
      </c>
      <c r="O146" s="158" t="s">
        <v>495</v>
      </c>
      <c r="P146" s="158" t="s">
        <v>902</v>
      </c>
      <c r="Q146" s="158" t="s">
        <v>1484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1045</v>
      </c>
      <c r="E147" s="158" t="s">
        <v>551</v>
      </c>
      <c r="F147" s="158" t="s">
        <v>526</v>
      </c>
      <c r="G147" s="158" t="s">
        <v>1046</v>
      </c>
      <c r="H147" s="158" t="s">
        <v>1046</v>
      </c>
      <c r="I147" s="158" t="s">
        <v>1192</v>
      </c>
      <c r="J147" s="159" t="s">
        <v>751</v>
      </c>
      <c r="K147" s="158" t="s">
        <v>1340</v>
      </c>
      <c r="L147" s="158" t="s">
        <v>1046</v>
      </c>
      <c r="M147" s="158" t="s">
        <v>526</v>
      </c>
      <c r="N147" s="158" t="s">
        <v>763</v>
      </c>
      <c r="O147" s="158" t="s">
        <v>418</v>
      </c>
      <c r="P147" s="158" t="s">
        <v>903</v>
      </c>
      <c r="Q147" s="158" t="s">
        <v>1485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1045</v>
      </c>
      <c r="E148" s="158" t="s">
        <v>551</v>
      </c>
      <c r="F148" s="158" t="s">
        <v>526</v>
      </c>
      <c r="G148" s="158" t="s">
        <v>1046</v>
      </c>
      <c r="H148" s="158" t="s">
        <v>1046</v>
      </c>
      <c r="I148" s="158" t="s">
        <v>1193</v>
      </c>
      <c r="J148" s="159" t="s">
        <v>752</v>
      </c>
      <c r="K148" s="158" t="s">
        <v>1341</v>
      </c>
      <c r="L148" s="158" t="s">
        <v>1046</v>
      </c>
      <c r="M148" s="158" t="s">
        <v>526</v>
      </c>
      <c r="N148" s="158" t="s">
        <v>763</v>
      </c>
      <c r="O148" s="158" t="s">
        <v>468</v>
      </c>
      <c r="P148" s="158" t="s">
        <v>904</v>
      </c>
      <c r="Q148" s="158" t="s">
        <v>1486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1045</v>
      </c>
      <c r="E149" s="158" t="s">
        <v>551</v>
      </c>
      <c r="F149" s="158" t="s">
        <v>526</v>
      </c>
      <c r="G149" s="158" t="s">
        <v>1046</v>
      </c>
      <c r="H149" s="158" t="s">
        <v>1046</v>
      </c>
      <c r="I149" s="158" t="s">
        <v>1194</v>
      </c>
      <c r="J149" s="159" t="s">
        <v>753</v>
      </c>
      <c r="K149" s="158" t="s">
        <v>1342</v>
      </c>
      <c r="L149" s="158" t="s">
        <v>1046</v>
      </c>
      <c r="M149" s="158" t="s">
        <v>526</v>
      </c>
      <c r="N149" s="158" t="s">
        <v>763</v>
      </c>
      <c r="O149" s="158" t="s">
        <v>456</v>
      </c>
      <c r="P149" s="158" t="s">
        <v>905</v>
      </c>
      <c r="Q149" s="158" t="s">
        <v>1487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79" t="s">
        <v>32</v>
      </c>
      <c r="F5" s="280"/>
      <c r="G5" s="277" t="str">
        <f>VLOOKUP(J5,Drivers!$A$5:$B$41,2,0)</f>
        <v>Mack Gwatiringa</v>
      </c>
      <c r="H5" s="277"/>
      <c r="I5" s="278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79" t="s">
        <v>37</v>
      </c>
      <c r="F17" s="280"/>
      <c r="G17" s="281"/>
      <c r="H17" s="281"/>
      <c r="I17" s="282"/>
      <c r="J17" s="89">
        <v>4</v>
      </c>
      <c r="L17" s="274" t="s">
        <v>23</v>
      </c>
      <c r="M17" s="275"/>
      <c r="N17" s="275"/>
      <c r="O17" s="275"/>
      <c r="P17" s="276"/>
      <c r="R17" s="274" t="s">
        <v>24</v>
      </c>
      <c r="S17" s="275"/>
      <c r="T17" s="275"/>
      <c r="U17" s="275"/>
      <c r="V17" s="276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920</v>
      </c>
    </row>
    <row r="8" spans="1:3" x14ac:dyDescent="0.35">
      <c r="A8">
        <v>2</v>
      </c>
      <c r="C8" s="156" t="s">
        <v>921</v>
      </c>
    </row>
    <row r="9" spans="1:3" x14ac:dyDescent="0.35">
      <c r="A9">
        <v>3</v>
      </c>
      <c r="C9" s="156" t="s">
        <v>925</v>
      </c>
    </row>
    <row r="10" spans="1:3" x14ac:dyDescent="0.35">
      <c r="A10">
        <v>4</v>
      </c>
      <c r="C10" s="156" t="s">
        <v>926</v>
      </c>
    </row>
    <row r="11" spans="1:3" x14ac:dyDescent="0.35">
      <c r="A11">
        <v>5</v>
      </c>
      <c r="C11" s="156" t="s">
        <v>927</v>
      </c>
    </row>
    <row r="12" spans="1:3" x14ac:dyDescent="0.35">
      <c r="A12">
        <v>6</v>
      </c>
      <c r="C12" s="156" t="s">
        <v>928</v>
      </c>
    </row>
    <row r="13" spans="1:3" x14ac:dyDescent="0.35">
      <c r="A13">
        <v>7</v>
      </c>
      <c r="C13" s="156" t="s">
        <v>929</v>
      </c>
    </row>
    <row r="14" spans="1:3" x14ac:dyDescent="0.35">
      <c r="A14">
        <v>8</v>
      </c>
      <c r="C14" s="156" t="s">
        <v>930</v>
      </c>
    </row>
    <row r="15" spans="1:3" x14ac:dyDescent="0.35">
      <c r="A15">
        <v>9</v>
      </c>
      <c r="C15" s="156" t="s">
        <v>931</v>
      </c>
    </row>
    <row r="16" spans="1:3" x14ac:dyDescent="0.35">
      <c r="A16">
        <v>10</v>
      </c>
      <c r="C16" s="156" t="s">
        <v>932</v>
      </c>
    </row>
    <row r="17" spans="1:3" x14ac:dyDescent="0.35">
      <c r="A17">
        <v>11</v>
      </c>
      <c r="C17" s="156" t="s">
        <v>933</v>
      </c>
    </row>
    <row r="18" spans="1:3" x14ac:dyDescent="0.35">
      <c r="A18">
        <v>12</v>
      </c>
      <c r="C18" s="156" t="s">
        <v>934</v>
      </c>
    </row>
    <row r="19" spans="1:3" x14ac:dyDescent="0.35">
      <c r="A19">
        <v>13</v>
      </c>
      <c r="C19" s="156" t="s">
        <v>935</v>
      </c>
    </row>
    <row r="20" spans="1:3" x14ac:dyDescent="0.35">
      <c r="A20">
        <v>14</v>
      </c>
      <c r="C20" s="156" t="s">
        <v>936</v>
      </c>
    </row>
    <row r="21" spans="1:3" x14ac:dyDescent="0.35">
      <c r="A21">
        <v>15</v>
      </c>
      <c r="C21" s="156" t="s">
        <v>937</v>
      </c>
    </row>
    <row r="22" spans="1:3" x14ac:dyDescent="0.35">
      <c r="A22">
        <v>16</v>
      </c>
      <c r="C22" s="156" t="s">
        <v>938</v>
      </c>
    </row>
    <row r="23" spans="1:3" x14ac:dyDescent="0.35">
      <c r="A23">
        <v>17</v>
      </c>
      <c r="C23" s="156" t="s">
        <v>939</v>
      </c>
    </row>
    <row r="24" spans="1:3" x14ac:dyDescent="0.35">
      <c r="A24">
        <v>18</v>
      </c>
      <c r="C24" s="156" t="s">
        <v>940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946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Templates</vt:lpstr>
      <vt:lpstr>Data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2018-03-30T13:23:17Z</cp:lastPrinted>
  <dcterms:created xsi:type="dcterms:W3CDTF">2018-01-26T15:47:13Z</dcterms:created>
  <dcterms:modified xsi:type="dcterms:W3CDTF">2018-03-30T13:24:57Z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