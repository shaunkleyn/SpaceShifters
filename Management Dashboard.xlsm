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4000" windowHeight="9720" firstSheet="1" activeTab="1"/>
  </bookViews>
  <sheets>
    <sheet name="Templates" sheetId="14" state="hidden" r:id="rId1"/>
    <sheet name="Dispatch Sheet" sheetId="13" r:id="rId2"/>
    <sheet name="Old Dispatch Sheet" sheetId="6" state="hidden" r:id="rId3"/>
    <sheet name="Exchange Rate" sheetId="12" state="hidden" r:id="rId4"/>
    <sheet name="Countries" sheetId="9" state="hidden" r:id="rId5"/>
    <sheet name="Dashboard" sheetId="1" r:id="rId6"/>
    <sheet name="Drivers" sheetId="3" r:id="rId7"/>
    <sheet name="Horses" sheetId="5" r:id="rId8"/>
    <sheet name="Trailers" sheetId="7" r:id="rId9"/>
    <sheet name="Inventory" sheetId="15" r:id="rId10"/>
  </sheets>
  <definedNames>
    <definedName name="point_1">Templates!$B$1:$AU$8</definedName>
    <definedName name="POINT_RANGE" localSheetId="0">Templates!$A$1:$AU$8</definedName>
    <definedName name="_xlnm.Print_Area" localSheetId="1">'Dispatch Sheet'!$G$2:$AS$37</definedName>
    <definedName name="_xlnm.Print_Area" localSheetId="2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3" l="1"/>
  <c r="AL26" i="13" l="1"/>
  <c r="Y26" i="13"/>
  <c r="L26" i="13"/>
  <c r="L5" i="14"/>
  <c r="Y5" i="14"/>
  <c r="AL5" i="14"/>
  <c r="AL16" i="13"/>
  <c r="Y16" i="13"/>
  <c r="L16" i="13"/>
  <c r="AK1" i="14"/>
  <c r="AK12" i="13"/>
  <c r="W12" i="13"/>
  <c r="AG12" i="13" s="1"/>
  <c r="W1" i="14"/>
  <c r="AG1" i="14" s="1"/>
  <c r="D5" i="14" l="1"/>
  <c r="D16" i="13"/>
  <c r="AL30" i="13" s="1"/>
  <c r="B1" i="13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<sst xmlns="http://schemas.openxmlformats.org/spreadsheetml/2006/main" count="3532" uniqueCount="1393">
  <si>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</si>
  <si>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</si>
  <si>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</si>
  <si>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</si>
  <si>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</si>
  <si>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</si>
  <si>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</si>
  <si>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</si>
  <si>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</si>
  <si>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</si>
  <si>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</si>
  <si>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</si>
  <si>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</si>
  <si>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</si>
  <si>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</si>
  <si>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</si>
  <si>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</si>
  <si>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</si>
  <si>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</si>
  <si>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</si>
  <si>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</si>
  <si>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</si>
  <si>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</si>
  <si>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</si>
  <si>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</si>
  <si>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</si>
  <si>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</si>
  <si>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</si>
  <si>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</si>
  <si>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</si>
  <si>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</si>
  <si>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</si>
  <si>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</si>
  <si>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</si>
  <si>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</si>
  <si>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</si>
  <si>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</si>
  <si>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</si>
  <si>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</si>
  <si>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</si>
  <si>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</si>
  <si>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</si>
  <si>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</si>
  <si>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</si>
  <si>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</si>
  <si>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</si>
  <si>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</si>
  <si>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</si>
  <si>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</si>
  <si>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</si>
  <si>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</si>
  <si>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</si>
  <si>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</si>
  <si>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</si>
  <si>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</si>
  <si>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</si>
  <si>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</si>
  <si>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</si>
  <si>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</si>
  <si>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</si>
  <si>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</si>
  <si>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</si>
  <si>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</si>
  <si>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</si>
  <si>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</si>
  <si>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</si>
  <si>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</si>
  <si>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</si>
  <si>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</si>
  <si>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</si>
  <si>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</si>
  <si>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</si>
  <si>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</si>
  <si>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</si>
  <si>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</si>
  <si>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</si>
  <si>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</si>
  <si>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</si>
  <si>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</si>
  <si>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</si>
  <si>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</si>
  <si>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</si>
  <si>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</si>
  <si>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</si>
  <si>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</si>
  <si>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</si>
  <si>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</si>
  <si>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</si>
  <si>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</si>
  <si>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</si>
  <si>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</si>
  <si>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</si>
  <si>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</si>
  <si>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</si>
  <si>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</si>
  <si>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</si>
  <si>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</si>
  <si>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</si>
  <si>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</si>
  <si>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</si>
  <si>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</si>
  <si>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</si>
  <si>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</si>
  <si>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</si>
  <si>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</si>
  <si>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</si>
  <si>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</si>
  <si>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</si>
  <si>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</si>
  <si>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</si>
  <si>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</si>
  <si>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</si>
  <si>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</si>
  <si>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</si>
  <si>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</si>
  <si>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</si>
  <si>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</si>
  <si>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</si>
  <si>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</si>
  <si>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</si>
  <si>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</si>
  <si>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</si>
  <si>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</si>
  <si>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</si>
  <si>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</si>
  <si>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</si>
  <si>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</si>
  <si>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</si>
  <si>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</si>
  <si>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</si>
  <si>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</si>
  <si>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</si>
  <si>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</si>
  <si>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</si>
  <si>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</si>
  <si>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</si>
  <si>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</si>
  <si>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</si>
  <si>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</si>
  <si>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</si>
  <si>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</si>
  <si>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</si>
  <si>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</si>
  <si>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</si>
  <si>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</si>
  <si>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</si>
  <si>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</si>
  <si>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</si>
  <si>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</si>
  <si>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</si>
  <si>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</si>
  <si>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</si>
  <si>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</si>
  <si>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</si>
  <si>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</si>
  <si>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</si>
  <si>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</si>
  <si>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</si>
  <si>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</si>
  <si>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</si>
  <si>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</si>
  <si>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</si>
  <si>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</si>
  <si>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</si>
  <si>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</si>
  <si>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</si>
  <si>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</si>
  <si>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</si>
  <si>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</si>
  <si>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</si>
  <si>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</si>
  <si>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</si>
  <si>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</si>
  <si>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</si>
  <si>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</si>
  <si>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</si>
  <si>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</si>
  <si>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</si>
  <si>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</si>
  <si>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</si>
  <si>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</si>
  <si>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</si>
  <si>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</si>
  <si>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</si>
  <si>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</si>
  <si>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</si>
  <si>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</si>
  <si>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</si>
  <si>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</si>
  <si>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</si>
  <si>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</si>
  <si>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</si>
  <si>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</si>
  <si>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</si>
  <si>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</si>
  <si>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</si>
  <si>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</si>
  <si>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</si>
  <si>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</si>
  <si>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</si>
  <si>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</si>
  <si>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</si>
  <si>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</si>
  <si>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</si>
  <si>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</si>
  <si>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</si>
  <si>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</si>
  <si>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</si>
  <si>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</si>
  <si>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</si>
  <si>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</si>
  <si>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</si>
  <si>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</si>
  <si>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</si>
  <si>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</si>
  <si>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</si>
  <si>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</si>
  <si>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</si>
  <si>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</si>
  <si>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</si>
  <si>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</si>
  <si>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</si>
  <si>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</si>
  <si>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</si>
  <si>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</si>
  <si>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</si>
  <si>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</si>
  <si>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</si>
  <si>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</si>
  <si>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</si>
  <si>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</si>
  <si>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</si>
  <si>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</si>
  <si>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</si>
  <si>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</si>
  <si>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</si>
  <si>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</si>
  <si>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</si>
  <si>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</si>
  <si>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</si>
  <si>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</si>
  <si>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</si>
  <si>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</si>
  <si>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</si>
  <si>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</si>
  <si>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</si>
  <si>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</si>
  <si>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</si>
  <si>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</si>
  <si>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</si>
  <si>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</si>
  <si>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</si>
  <si>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</si>
  <si>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</si>
  <si>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</si>
  <si>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</si>
  <si>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</si>
  <si>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</si>
  <si>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</si>
  <si>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</si>
  <si>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</si>
  <si>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</si>
  <si>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</si>
  <si>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</si>
  <si>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</si>
  <si>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</si>
  <si>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</si>
  <si>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</si>
  <si>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</si>
  <si>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</si>
  <si>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</si>
  <si>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</si>
  <si>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</si>
  <si>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</si>
  <si>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</si>
  <si>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</si>
  <si>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</si>
  <si>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</si>
  <si>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</si>
  <si>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</si>
  <si>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</si>
  <si>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</si>
  <si>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</si>
  <si>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</si>
  <si>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</si>
  <si>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</si>
  <si>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</si>
  <si>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</si>
  <si>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</si>
  <si>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</si>
  <si>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</si>
  <si>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</si>
  <si>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</si>
  <si>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</si>
  <si>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</si>
  <si>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</si>
  <si>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</si>
  <si>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</si>
  <si>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</si>
  <si>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</si>
  <si>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</si>
  <si>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</si>
  <si>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</si>
  <si>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</si>
  <si>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</si>
  <si>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</si>
  <si>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</si>
  <si>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</si>
  <si>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</si>
  <si>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</si>
  <si>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</si>
  <si>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</si>
  <si>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</si>
  <si>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</si>
  <si>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</si>
  <si>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</si>
  <si>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</si>
  <si>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</si>
  <si>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</si>
  <si>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</si>
  <si>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</si>
  <si>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</si>
  <si>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</si>
  <si>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</si>
  <si>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</si>
  <si>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</si>
  <si>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</si>
  <si>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</si>
  <si>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</si>
  <si>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</si>
  <si>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</si>
  <si>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</si>
  <si>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</si>
  <si>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</si>
  <si>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</si>
  <si>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</si>
  <si>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</si>
  <si>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</si>
  <si>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</si>
  <si>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</si>
  <si>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</si>
  <si>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</si>
  <si>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</si>
  <si>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</si>
  <si>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</si>
  <si>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</si>
  <si>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</si>
  <si>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</si>
  <si>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</si>
  <si>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</si>
  <si>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</si>
  <si>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</si>
  <si>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</si>
  <si>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</si>
  <si>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</si>
  <si>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</si>
  <si>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</si>
  <si>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</si>
  <si>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</si>
  <si>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</si>
  <si>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</si>
  <si>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</si>
  <si>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</si>
  <si>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</si>
  <si>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</si>
  <si>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</si>
  <si>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</si>
  <si>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</si>
  <si>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</si>
  <si>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</si>
  <si>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</si>
  <si>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</si>
  <si>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</si>
  <si>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</si>
  <si>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</si>
  <si>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</si>
  <si>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</si>
  <si>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</si>
  <si>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</si>
  <si>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</si>
  <si>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</si>
  <si>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</si>
  <si>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</si>
  <si>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</si>
  <si>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</si>
  <si>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</si>
  <si>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</si>
  <si>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</si>
  <si>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</si>
  <si>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</si>
  <si>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</si>
  <si>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</si>
  <si>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</si>
  <si>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</si>
  <si>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</si>
  <si>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</si>
  <si>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</si>
  <si>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</si>
  <si>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</si>
  <si>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</si>
  <si>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</si>
  <si>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</si>
  <si>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</si>
  <si>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</si>
  <si>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</si>
  <si>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</si>
  <si>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</si>
  <si>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</si>
  <si>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</si>
  <si>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</si>
  <si>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</si>
  <si>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</si>
  <si>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</si>
  <si>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</si>
  <si>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</si>
  <si>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</si>
  <si>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</si>
  <si>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</si>
  <si>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</si>
  <si>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</si>
  <si>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</si>
  <si>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</si>
  <si>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</si>
  <si>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</si>
  <si>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</si>
  <si>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</si>
  <si>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</si>
  <si>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</si>
  <si>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</si>
  <si>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</si>
  <si>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</si>
  <si>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</si>
  <si>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</si>
  <si>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</si>
  <si>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</si>
  <si>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</si>
  <si>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</si>
  <si>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</si>
  <si>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</si>
  <si>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</si>
  <si>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</si>
  <si>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</si>
  <si>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</si>
  <si>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</si>
  <si>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</si>
  <si>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</si>
  <si>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</si>
  <si>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</si>
  <si>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</si>
  <si>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</si>
  <si>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</si>
  <si>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</si>
  <si>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</si>
  <si>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</si>
  <si>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</si>
  <si>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</si>
  <si>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</si>
  <si>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</si>
  <si>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</si>
  <si>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</si>
  <si>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</si>
  <si>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</si>
  <si>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</si>
  <si>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</si>
  <si>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</si>
  <si>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</si>
  <si>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</si>
  <si>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</si>
  <si>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</si>
  <si>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</si>
  <si>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</si>
  <si>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</si>
  <si>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</si>
  <si>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</si>
  <si>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</si>
  <si>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</si>
  <si>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</si>
  <si>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</si>
  <si>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</si>
  <si>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</si>
  <si>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</si>
  <si>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</si>
  <si>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</si>
  <si>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</si>
  <si>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</si>
  <si>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</si>
  <si>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</si>
  <si>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</si>
  <si>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</si>
  <si>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</si>
  <si>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</si>
  <si>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</si>
  <si>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</si>
  <si>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</si>
  <si>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</si>
  <si>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</si>
  <si>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</si>
  <si>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</si>
  <si>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</si>
  <si>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</si>
  <si>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</si>
  <si>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</si>
  <si>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</si>
  <si>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</si>
  <si>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</si>
  <si>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</si>
  <si>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</si>
  <si>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</si>
  <si>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</si>
  <si>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</si>
  <si>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</si>
  <si>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</si>
  <si>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</si>
  <si>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</si>
  <si>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</si>
  <si>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</si>
  <si>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</si>
  <si>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</si>
  <si>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</si>
  <si>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</si>
  <si>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</si>
  <si>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</si>
  <si>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</si>
  <si>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</si>
  <si>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</si>
  <si>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</si>
  <si>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</si>
  <si>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</si>
  <si>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</si>
  <si>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</si>
  <si>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</si>
  <si>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</si>
  <si>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</si>
  <si>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</si>
  <si>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</si>
  <si>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</si>
  <si>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</si>
  <si>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</si>
  <si>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</si>
  <si>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</si>
  <si>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</si>
  <si>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</si>
  <si>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</si>
  <si>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</si>
  <si>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</si>
  <si>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</si>
  <si>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</si>
  <si>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</si>
  <si>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</si>
  <si>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</si>
  <si>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</si>
  <si>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</si>
  <si>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</si>
  <si>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</si>
  <si>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</si>
  <si>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</si>
  <si>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</si>
  <si>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</si>
  <si>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</si>
  <si>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</si>
  <si>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</si>
  <si>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</si>
  <si>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</si>
  <si>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</si>
  <si>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</si>
  <si>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</si>
  <si>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</si>
  <si>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</si>
  <si>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</si>
  <si>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</si>
  <si>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</si>
  <si>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</si>
  <si>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</si>
  <si>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</si>
  <si>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</si>
  <si>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</si>
  <si>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</si>
  <si>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</si>
  <si>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</si>
  <si>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</si>
  <si>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</si>
  <si>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</si>
  <si>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</si>
  <si>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</si>
  <si>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</si>
  <si>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</si>
  <si>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</si>
  <si>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</si>
  <si>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</si>
  <si>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</si>
  <si>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</si>
  <si>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</si>
  <si>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</si>
  <si>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</si>
  <si>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</si>
  <si>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</si>
  <si>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</si>
  <si>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</si>
  <si>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</si>
  <si>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</si>
  <si>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</si>
  <si>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</si>
  <si>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</si>
  <si>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</si>
  <si>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</si>
  <si>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</si>
  <si>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</si>
  <si>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</si>
  <si>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</si>
  <si>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</si>
  <si>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</si>
  <si>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</si>
  <si>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</si>
  <si>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</si>
  <si>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</si>
  <si>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XML Daily foreign exchange rates for South African Rand (ZAR) from the Float Rates. Published at Sat, 10 Mar 2018 12:00:01 GMT.</t>
  </si>
  <si>
    <t>Sat, 10 Mar 2018 12:00:01 GMT</t>
  </si>
  <si>
    <t>1 ZAR = 0.08419248 USD</t>
  </si>
  <si>
    <t>1 ZAR = 0.06826863 EUR</t>
  </si>
  <si>
    <t>1 ZAR = 0.06082814 GBP</t>
  </si>
  <si>
    <t>1 ZAR = 8.96717022 JPY</t>
  </si>
  <si>
    <t>1 ZAR = 0.07983354 CHF</t>
  </si>
  <si>
    <t>1 ZAR = 0.10843253 CAD</t>
  </si>
  <si>
    <t>1 ZAR = 0.10788059 AUD</t>
  </si>
  <si>
    <t>1 ZAR = 0.65642995 NOK</t>
  </si>
  <si>
    <t>1 ZAR = 3,076.03916274 VEF</t>
  </si>
  <si>
    <t>1 ZAR = 25.86791655 NGN</t>
  </si>
  <si>
    <t>1 ZAR = 128.21434789 LBP</t>
  </si>
  <si>
    <t>1 ZAR = 1.73216267 STN</t>
  </si>
  <si>
    <t>1 ZAR = 768.35771983 GNF</t>
  </si>
  <si>
    <t>1 ZAR = 0.20825117 GEL</t>
  </si>
  <si>
    <t>1 ZAR = 1.14442767 SCR</t>
  </si>
  <si>
    <t>1 ZAR = 241.81949956 COP</t>
  </si>
  <si>
    <t>1 ZAR = 0.28657888 PLN</t>
  </si>
  <si>
    <t>1 ZAR = 4.17001778 DOP</t>
  </si>
  <si>
    <t>1 ZAR = 7.02287119 BDT</t>
  </si>
  <si>
    <t>1 ZAR = 2.40146608 UYU</t>
  </si>
  <si>
    <t>1 ZAR = 0.17137750 FJD</t>
  </si>
  <si>
    <t>1 ZAR = 73.51388775 RWF</t>
  </si>
  <si>
    <t>1 ZAR = 662.13315027 SLL</t>
  </si>
  <si>
    <t>1 ZAR = 191.70499481 TZS</t>
  </si>
  <si>
    <t>1 ZAR = 21.28275573 HUF</t>
  </si>
  <si>
    <t>1 ZAR = 0.31587610 SAR</t>
  </si>
  <si>
    <t>1 ZAR = 0.50693978 HRK</t>
  </si>
  <si>
    <t>1 ZAR = 5.75123464 KGS</t>
  </si>
  <si>
    <t>1 ZAR = 2.63123814 NIO</t>
  </si>
  <si>
    <t>1 ZAR = 11.22522606 LRD</t>
  </si>
  <si>
    <t>1 ZAR = 1.53918472 SDG</t>
  </si>
  <si>
    <t>1 ZAR = 5.30195179 MZN</t>
  </si>
  <si>
    <t>1 ZAR = 203.51684647 MNT</t>
  </si>
  <si>
    <t>1 ZAR = 1,161.19355438 IDR</t>
  </si>
  <si>
    <t>1 ZAR = 13.10503918 LKR</t>
  </si>
  <si>
    <t>1 ZAR = 1.57231305 MXN</t>
  </si>
  <si>
    <t>1 ZAR = 0.74704130 TJS</t>
  </si>
  <si>
    <t>1 ZAR = 0.08516056 PAB</t>
  </si>
  <si>
    <t>1 ZAR = 0.23066767 XCD</t>
  </si>
  <si>
    <t>1 ZAR = 5.46322789 HTG</t>
  </si>
  <si>
    <t>1 ZAR = 0.18267484 TOP</t>
  </si>
  <si>
    <t>1 ZAR = 9.62621110 DZD</t>
  </si>
  <si>
    <t>1 ZAR = 89.96606960 KRW</t>
  </si>
  <si>
    <t>1 ZAR = 2.63906817 THB</t>
  </si>
  <si>
    <t>1 ZAR = 44.98430207 XOF</t>
  </si>
  <si>
    <t>1 ZAR = 1.48043664 EGP</t>
  </si>
  <si>
    <t>1 ZAR = 4.06457973 GMD</t>
  </si>
  <si>
    <t>1 ZAR = 0.15183651 AWG</t>
  </si>
  <si>
    <t>1 ZAR = 61.73271476 MWK</t>
  </si>
  <si>
    <t>1 ZAR = 0.62784747 GTQ</t>
  </si>
  <si>
    <t>1 ZAR = 0.80773292 BWP</t>
  </si>
  <si>
    <t>1 ZAR = 0.32949720 MYR</t>
  </si>
  <si>
    <t>1 ZAR = 0.11582993 NZD</t>
  </si>
  <si>
    <t>1 ZAR = 0.30934947 AED</t>
  </si>
  <si>
    <t>1 ZAR = 0.27318543 PGK</t>
  </si>
  <si>
    <t>1 ZAR = 0.06005324 JOD</t>
  </si>
  <si>
    <t>1 ZAR = 0.77940273 MAD</t>
  </si>
  <si>
    <t>1 ZAR = 15.05242194 DJF</t>
  </si>
  <si>
    <t>1 ZAR = 112.60414860 MMK</t>
  </si>
  <si>
    <t>1 ZAR = 1.31517523 MVR</t>
  </si>
  <si>
    <t>1 ZAR = 50.94532244 CLP</t>
  </si>
  <si>
    <t>1 ZAR = 9.32056192 PKR</t>
  </si>
  <si>
    <t>1 ZAR = 0.27413378 BRL</t>
  </si>
  <si>
    <t>1 ZAR = 0.16502526 BYN</t>
  </si>
  <si>
    <t>1 ZAR = 469.98775946 PYG</t>
  </si>
  <si>
    <t>1 ZAR = 0.17099000 BZD</t>
  </si>
  <si>
    <t>1 ZAR = 137.95765109 CDF</t>
  </si>
  <si>
    <t>1 ZAR = 2.01236546 HNL</t>
  </si>
  <si>
    <t>1 ZAR = 49.21489762 SOS</t>
  </si>
  <si>
    <t>1 ZAR = 0.50874034 DKK</t>
  </si>
  <si>
    <t>1 ZAR = 4.78703993 RUB</t>
  </si>
  <si>
    <t>1 ZAR = 0.31767208 RON</t>
  </si>
  <si>
    <t>1 ZAR = 40.75157398 AMD</t>
  </si>
  <si>
    <t>1 ZAR = 48.20580121 CRC</t>
  </si>
  <si>
    <t>1 ZAR = 10.84399197 JMD</t>
  </si>
  <si>
    <t>1 ZAR = 11.20858831 SSP</t>
  </si>
  <si>
    <t>1 ZAR = 1.00830101 LSL</t>
  </si>
  <si>
    <t>1 ZAR = 0.21627590 WST</t>
  </si>
  <si>
    <t>1 ZAR = 5.47987284 INR</t>
  </si>
  <si>
    <t>1 ZAR = 0.65995559 HKD</t>
  </si>
  <si>
    <t>1 ZAR = 0.29569727 TMT</t>
  </si>
  <si>
    <t>1 ZAR = 270.08062708 MGA</t>
  </si>
  <si>
    <t>1 ZAR = 0.63590570 SRD</t>
  </si>
  <si>
    <t>1 ZAR = 0.37871084 GHS</t>
  </si>
  <si>
    <t>1 ZAR = 2.99651499 MRU</t>
  </si>
  <si>
    <t>1 ZAR = 0.13407007 BAM</t>
  </si>
  <si>
    <t>1 ZAR = 26.96876297 KZT</t>
  </si>
  <si>
    <t>1 ZAR = 44.98430207 XAF</t>
  </si>
  <si>
    <t>1 ZAR = 2.20160016 UAH</t>
  </si>
  <si>
    <t>1 ZAR = 0.74485689 SVC</t>
  </si>
  <si>
    <t>1 ZAR = 7.68357720 CVE</t>
  </si>
  <si>
    <t>1 ZAR = 704.32790985 LAK</t>
  </si>
  <si>
    <t>1 ZAR = 0.08516056 CUP</t>
  </si>
  <si>
    <t>1 ZAR = 0.03168370 BHD</t>
  </si>
  <si>
    <t>1 ZAR = 0.06311757 LYD</t>
  </si>
  <si>
    <t>1 ZAR = 8.78151516 NPR</t>
  </si>
  <si>
    <t>1 ZAR = 0.20452475 TND</t>
  </si>
  <si>
    <t>1 ZAR = 1,924.06363048 VND</t>
  </si>
  <si>
    <t>1 ZAR = 8.08278320 RSD</t>
  </si>
  <si>
    <t>1 ZAR = 101.39936034 IQD</t>
  </si>
  <si>
    <t>1 ZAR = 8.18076657 XPF</t>
  </si>
  <si>
    <t>1 ZAR = 18.18770805 AOA</t>
  </si>
  <si>
    <t>1 ZAR = 342.50987749 KHR</t>
  </si>
  <si>
    <t>1 ZAR = 0.03238911 OMR</t>
  </si>
  <si>
    <t>1 ZAR = 0.16855731 BBD</t>
  </si>
  <si>
    <t>1 ZAR = 0.27455670 PEN</t>
  </si>
  <si>
    <t>1 ZAR = 1.71574023 ARS</t>
  </si>
  <si>
    <t>1 ZAR = 0.08516056 BSD</t>
  </si>
  <si>
    <t>1 ZAR = 33.72442052 KMF</t>
  </si>
  <si>
    <t>1 ZAR = 9.04661694 ALL</t>
  </si>
  <si>
    <t>1 ZAR = 8.61744047 KES</t>
  </si>
  <si>
    <t>1 ZAR = 1.73734851 CZK</t>
  </si>
  <si>
    <t>1 ZAR = 0.30689186 QAR</t>
  </si>
  <si>
    <t>1 ZAR = 0.13336833 BGN</t>
  </si>
  <si>
    <t>1 ZAR = 0.14408612 AZN</t>
  </si>
  <si>
    <t>1 ZAR = 0.58375639 BOB</t>
  </si>
  <si>
    <t>1 ZAR = 17.62764000 GYD</t>
  </si>
  <si>
    <t>1 ZAR = 0.06141869 GIP</t>
  </si>
  <si>
    <t>1 ZAR = 1.00830101 SZL</t>
  </si>
  <si>
    <t>1 ZAR = 311.00193422 UGX</t>
  </si>
  <si>
    <t>1 ZAR = 0.53329294 CNY</t>
  </si>
  <si>
    <t>1 ZAR = 8.42194036 ISK</t>
  </si>
  <si>
    <t>1 ZAR = 0.11088595 SGD</t>
  </si>
  <si>
    <t>1 ZAR = 0.32084982 TRY</t>
  </si>
  <si>
    <t>1 ZAR = 1.40537933 MDL</t>
  </si>
  <si>
    <t>1 ZAR = 5.91056557 AFN</t>
  </si>
  <si>
    <t>1 ZAR = 1.00830101 NAD</t>
  </si>
  <si>
    <t>1 ZAR = 43.54027079 SYP</t>
  </si>
  <si>
    <t>1 ZAR = 1.28231052 ERN</t>
  </si>
  <si>
    <t>1 ZAR = 9.17808327 VUV</t>
  </si>
  <si>
    <t>1 ZAR = 0.29067804 ILS</t>
  </si>
  <si>
    <t>1 ZAR = 0.69482854 SEK</t>
  </si>
  <si>
    <t>1 ZAR = 4.39069727 PHP</t>
  </si>
  <si>
    <t>1 ZAR = 690.71056516 UZS</t>
  </si>
  <si>
    <t>1 ZAR = 2.33251451 ETB</t>
  </si>
  <si>
    <t>1 ZAR = 0.66182816 SBD</t>
  </si>
  <si>
    <t>1 ZAR = 0.15185256 ANG</t>
  </si>
  <si>
    <t>1 ZAR = 0.68501975 MOP</t>
  </si>
  <si>
    <t>1 ZAR = 0.02524196 KWD</t>
  </si>
  <si>
    <t>1 ZAR = 2.77733910 MUR</t>
  </si>
  <si>
    <t>1 ZAR = 0.56988789 TTD</t>
  </si>
  <si>
    <t>1 ZAR = 2.46730297 TWD</t>
  </si>
  <si>
    <t>1 ZAR = 3,154.04135144 IRR</t>
  </si>
  <si>
    <t>1 ZAR = 4.22255216 MKD</t>
  </si>
  <si>
    <t>1 ZAR = 149.74767442 BIF</t>
  </si>
  <si>
    <t>1 ZAR = 0.82528945 ZMW</t>
  </si>
  <si>
    <t>1 ZAR = 21.27217316 YER</t>
  </si>
  <si>
    <t>1 ZAR = 0.11111673 BND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</si>
  <si>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</si>
  <si>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</si>
  <si>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</si>
  <si>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</si>
  <si>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</si>
  <si>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</si>
  <si>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</si>
  <si>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</si>
  <si>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</si>
  <si>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</si>
  <si>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</si>
  <si>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</si>
  <si>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</si>
  <si>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</si>
  <si>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</si>
  <si>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</si>
  <si>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</si>
  <si>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</si>
  <si>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</si>
  <si>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</si>
  <si>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</si>
  <si>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</si>
  <si>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</si>
  <si>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</si>
  <si>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</si>
  <si>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</si>
  <si>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</si>
  <si>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</si>
  <si>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</si>
  <si>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</si>
  <si>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</si>
  <si>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</si>
  <si>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</si>
  <si>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</si>
  <si>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</si>
  <si>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</si>
  <si>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</si>
  <si>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</si>
  <si>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</si>
  <si>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</si>
  <si>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</si>
  <si>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</si>
  <si>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</si>
  <si>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</si>
  <si>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</si>
  <si>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</si>
  <si>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</si>
  <si>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</si>
  <si>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</si>
  <si>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</si>
  <si>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</si>
  <si>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</si>
  <si>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</si>
  <si>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</si>
  <si>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</si>
  <si>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</si>
  <si>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</si>
  <si>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</si>
  <si>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</si>
  <si>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</si>
  <si>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</si>
  <si>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</si>
  <si>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</si>
  <si>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</si>
  <si>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</si>
  <si>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</si>
  <si>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</si>
  <si>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</si>
  <si>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</si>
  <si>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</si>
  <si>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</si>
  <si>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</si>
  <si>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</si>
  <si>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</si>
  <si>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</si>
  <si>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</si>
  <si>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</si>
  <si>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</si>
  <si>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</si>
  <si>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</si>
  <si>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</si>
  <si>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</si>
  <si>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</si>
  <si>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</si>
  <si>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</si>
  <si>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</si>
  <si>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</si>
  <si>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</si>
  <si>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</si>
  <si>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</si>
  <si>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</si>
  <si>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</si>
  <si>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</si>
  <si>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</si>
  <si>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</si>
  <si>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</si>
  <si>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</si>
  <si>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</si>
  <si>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</si>
  <si>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</si>
  <si>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</si>
  <si>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</si>
  <si>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</si>
  <si>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</si>
  <si>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</si>
  <si>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</si>
  <si>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</si>
  <si>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</si>
  <si>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</si>
  <si>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</si>
  <si>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</si>
  <si>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</si>
  <si>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</si>
  <si>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</si>
  <si>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</si>
  <si>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</si>
  <si>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</si>
  <si>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</si>
  <si>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</si>
  <si>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</si>
  <si>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</si>
  <si>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</si>
  <si>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</si>
  <si>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</si>
  <si>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</si>
  <si>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</si>
  <si>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</si>
  <si>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</si>
  <si>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</si>
  <si>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</si>
  <si>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</si>
  <si>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</si>
  <si>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</si>
  <si>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</si>
  <si>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</si>
  <si>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</si>
  <si>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</si>
  <si>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</si>
  <si>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</si>
  <si>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</si>
  <si>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</si>
  <si>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</si>
  <si>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</si>
  <si>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</si>
  <si>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</si>
  <si>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</si>
  <si>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</si>
  <si>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</si>
  <si>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1 South African Rand = 0.08419248 U.S. Dollar</t>
  </si>
  <si>
    <t>1 South African Rand = 0.06826863 Euro</t>
  </si>
  <si>
    <t>1 South African Rand = 0.06082814 U.K. Pound Sterling</t>
  </si>
  <si>
    <t>1 South African Rand = 8.96717022 Japanese Yen</t>
  </si>
  <si>
    <t>1 South African Rand = 0.07983354 Swiss Franc</t>
  </si>
  <si>
    <t>1 South African Rand = 0.10843253 Canadian Dollar</t>
  </si>
  <si>
    <t>1 South African Rand = 0.10788059 Australian Dollar</t>
  </si>
  <si>
    <t>1 South African Rand = 0.65642995 Norwegian Krone</t>
  </si>
  <si>
    <t>1 South African Rand = 3,076.03916274 Venezuelan Bolivar</t>
  </si>
  <si>
    <t>1 South African Rand = 25.86791655 Nigerian Naira</t>
  </si>
  <si>
    <t>1 South African Rand = 128.21434789 Lebanese Pound</t>
  </si>
  <si>
    <t>1 South African Rand = 1.73216267 São Tomé and Príncipe Dobra</t>
  </si>
  <si>
    <t>1 South African Rand = 768.35771983 Guinean franc</t>
  </si>
  <si>
    <t>1 South African Rand = 0.20825117 Georgian lari</t>
  </si>
  <si>
    <t>1 South African Rand = 1.14442767 Seychelles rupee</t>
  </si>
  <si>
    <t>1 South African Rand = 241.81949956 Colombian Peso</t>
  </si>
  <si>
    <t>1 South African Rand = 0.28657888 Polish Zloty</t>
  </si>
  <si>
    <t>1 South African Rand = 4.17001778 Dominican Peso</t>
  </si>
  <si>
    <t>1 South African Rand = 7.02287119 Bangladeshi taka</t>
  </si>
  <si>
    <t>1 South African Rand = 2.40146608 Uruguayan Peso</t>
  </si>
  <si>
    <t>1 South African Rand = 0.17137750 Fiji Dollar</t>
  </si>
  <si>
    <t>1 South African Rand = 73.51388775 Rwandan franc</t>
  </si>
  <si>
    <t>1 South African Rand = 662.13315027 Sierra Leonean leone</t>
  </si>
  <si>
    <t>1 South African Rand = 191.70499481 Tanzanian shilling</t>
  </si>
  <si>
    <t>1 South African Rand = 21.28275573 Hungarian Forint</t>
  </si>
  <si>
    <t>1 South African Rand = 0.31587610 Saudi Riyal</t>
  </si>
  <si>
    <t>1 South African Rand = 0.50693978 Croatian Kuna</t>
  </si>
  <si>
    <t>1 South African Rand = 5.75123464 Kyrgyzstan Som</t>
  </si>
  <si>
    <t>1 South African Rand = 2.63123814 Nicaraguan Córdoba</t>
  </si>
  <si>
    <t>1 South African Rand = 11.22522606 Liberian dollar</t>
  </si>
  <si>
    <t>1 South African Rand = 1.53918472 Sudanese pound</t>
  </si>
  <si>
    <t>1 South African Rand = 5.30195179 Mozambican metical</t>
  </si>
  <si>
    <t>1 South African Rand = 203.51684647 Mongolian togrog</t>
  </si>
  <si>
    <t>1 South African Rand = 1,161.19355438 Indonesian Rupiah</t>
  </si>
  <si>
    <t>1 South African Rand = 13.10503918 Sri Lanka Rupee</t>
  </si>
  <si>
    <t>1 South African Rand = 1.57231305 Mexican Peso</t>
  </si>
  <si>
    <t>1 South African Rand = 0.74704130 Tajikistan Ruble</t>
  </si>
  <si>
    <t>1 South African Rand = 0.08516056 Panamanian Balboa</t>
  </si>
  <si>
    <t>1 South African Rand = 0.23066767 East Caribbean Dollar</t>
  </si>
  <si>
    <t>1 South African Rand = 5.46322789 Haitian gourde</t>
  </si>
  <si>
    <t>1 South African Rand = 0.18267484 Tongan paʻanga</t>
  </si>
  <si>
    <t>1 South African Rand = 9.62621110 Algerian Dinar</t>
  </si>
  <si>
    <t>1 South African Rand = 89.96606960 South Korean Won</t>
  </si>
  <si>
    <t>1 South African Rand = 2.63906817 Thai Baht</t>
  </si>
  <si>
    <t>1 South African Rand = 44.98430207 West African CFA Franc</t>
  </si>
  <si>
    <t>1 South African Rand = 1.48043664 Egyptian Pound</t>
  </si>
  <si>
    <t>1 South African Rand = 4.06457973 Gambian dalasi</t>
  </si>
  <si>
    <t>1 South African Rand = 0.15183651 Aruban florin</t>
  </si>
  <si>
    <t>1 South African Rand = 61.73271476 Malawian kwacha</t>
  </si>
  <si>
    <t>1 South African Rand = 0.62784747 Guatemalan Quetzal</t>
  </si>
  <si>
    <t>1 South African Rand = 0.80773292 Botswana Pula</t>
  </si>
  <si>
    <t>1 South African Rand = 0.32949720 Malaysian Ringgit</t>
  </si>
  <si>
    <t>1 South African Rand = 0.11582993 New Zealand Dollar</t>
  </si>
  <si>
    <t>1 South African Rand = 0.30934947 U.A.E Dirham</t>
  </si>
  <si>
    <t>1 South African Rand = 0.27318543 Papua New Guinean kina</t>
  </si>
  <si>
    <t>1 South African Rand = 0.06005324 Jordanian Dinar</t>
  </si>
  <si>
    <t>1 South African Rand = 0.77940273 Moroccan Dirham</t>
  </si>
  <si>
    <t>1 South African Rand = 15.05242194 Djiboutian franc</t>
  </si>
  <si>
    <t>1 South African Rand = 112.60414860 Myanma Kyat</t>
  </si>
  <si>
    <t>1 South African Rand = 1.31517523 Maldivian rufiyaa</t>
  </si>
  <si>
    <t>1 South African Rand = 50.94532244 Chilean Peso</t>
  </si>
  <si>
    <t>1 South African Rand = 9.32056192 Pakistani Rupee</t>
  </si>
  <si>
    <t>1 South African Rand = 0.27413378 Brazilian Real</t>
  </si>
  <si>
    <t>1 South African Rand = 0.16502526 Belarussian Ruble</t>
  </si>
  <si>
    <t>1 South African Rand = 469.98775946 Paraguayan Guaraní</t>
  </si>
  <si>
    <t>1 South African Rand = 0.17099000 Belize dollar</t>
  </si>
  <si>
    <t>1 South African Rand = 137.95765109 Congolese franc</t>
  </si>
  <si>
    <t>1 South African Rand = 2.01236546 Honduran Lempira</t>
  </si>
  <si>
    <t>1 South African Rand = 49.21489762 Somali shilling</t>
  </si>
  <si>
    <t>1 South African Rand = 0.50874034 Danish Krone</t>
  </si>
  <si>
    <t>1 South African Rand = 4.78703993 Russian Rouble</t>
  </si>
  <si>
    <t>1 South African Rand = 0.31767208 Romanian New Leu</t>
  </si>
  <si>
    <t>1 South African Rand = 40.75157398 Armenia Dram</t>
  </si>
  <si>
    <t>1 South African Rand = 48.20580121 Costa Rican Colón</t>
  </si>
  <si>
    <t>1 South African Rand = 10.84399197 Jamaican Dollar</t>
  </si>
  <si>
    <t>1 South African Rand = 11.20858831 South Sudanese pound</t>
  </si>
  <si>
    <t>1 South African Rand = 1.00830101 Lesotho loti</t>
  </si>
  <si>
    <t>1 South African Rand = 0.21627590 Samoan tala</t>
  </si>
  <si>
    <t>1 South African Rand = 5.47987284 Indian Rupee</t>
  </si>
  <si>
    <t>1 South African Rand = 0.65995559 Hong Kong Dollar</t>
  </si>
  <si>
    <t>1 South African Rand = 0.29569727 New Turkmenistan Manat</t>
  </si>
  <si>
    <t>1 South African Rand = 270.08062708 Malagasy ariary</t>
  </si>
  <si>
    <t>1 South African Rand = 0.63590570 Surinamese dollar</t>
  </si>
  <si>
    <t>1 South African Rand = 0.37871084 Ghanaian Cedi</t>
  </si>
  <si>
    <t>1 South African Rand = 2.99651499 Mauritanian ouguiya</t>
  </si>
  <si>
    <t>1 South African Rand = 0.13407007 Bosnia and Herzegovina convertible mark</t>
  </si>
  <si>
    <t>1 South African Rand = 26.96876297 Kazakhstani Tenge</t>
  </si>
  <si>
    <t>1 South African Rand = 44.98430207 Central African CFA Franc</t>
  </si>
  <si>
    <t>1 South African Rand = 2.20160016 Ukrainian Hryvnia</t>
  </si>
  <si>
    <t>1 South African Rand = 0.74485689 Salvadoran colon</t>
  </si>
  <si>
    <t>1 South African Rand = 7.68357720 Cape Verde escudo</t>
  </si>
  <si>
    <t>1 South African Rand = 704.32790985 Lao kip</t>
  </si>
  <si>
    <t>1 South African Rand = 0.08516056 Cuban peso</t>
  </si>
  <si>
    <t>1 South African Rand = 0.03168370 Bahrain Dinar</t>
  </si>
  <si>
    <t>1 South African Rand = 0.06311757 Libyan Dinar</t>
  </si>
  <si>
    <t>1 South African Rand = 8.78151516 Nepalese Rupee</t>
  </si>
  <si>
    <t>1 South African Rand = 0.20452475 Tunisian Dinar</t>
  </si>
  <si>
    <t>1 South African Rand = 1,924.06363048 Vietnamese Dong</t>
  </si>
  <si>
    <t>1 South African Rand = 8.08278320 Serbian Dinar</t>
  </si>
  <si>
    <t>1 South African Rand = 101.39936034 Iraqi dinar</t>
  </si>
  <si>
    <t>1 South African Rand = 8.18076657 CFP Franc</t>
  </si>
  <si>
    <t>1 South African Rand = 18.18770805 Angolan kwanza</t>
  </si>
  <si>
    <t>1 South African Rand = 342.50987749 Cambodian riel</t>
  </si>
  <si>
    <t>1 South African Rand = 0.03238911 Omani Rial</t>
  </si>
  <si>
    <t>1 South African Rand = 0.16855731 Barbadian Dollar</t>
  </si>
  <si>
    <t>1 South African Rand = 0.27455670 Peruvian Nuevo Sol</t>
  </si>
  <si>
    <t>1 South African Rand = 1.71574023 Argentine Peso</t>
  </si>
  <si>
    <t>1 South African Rand = 0.08516056 Bahamian Dollar</t>
  </si>
  <si>
    <t>1 South African Rand = 33.72442052 	Comoro franc</t>
  </si>
  <si>
    <t>1 South African Rand = 9.04661694 Albanian lek</t>
  </si>
  <si>
    <t>1 South African Rand = 8.61744047 Kenyan shilling</t>
  </si>
  <si>
    <t>1 South African Rand = 1.73734851 Czech Koruna</t>
  </si>
  <si>
    <t>1 South African Rand = 0.30689186 Qatari Rial</t>
  </si>
  <si>
    <t>1 South African Rand = 0.13336833 Bulgarian Lev</t>
  </si>
  <si>
    <t>1 South African Rand = 0.14408612 Azerbaijan Manat</t>
  </si>
  <si>
    <t>1 South African Rand = 0.58375639 Bolivian Boliviano</t>
  </si>
  <si>
    <t>1 South African Rand = 17.62764000 Guyanese dollar</t>
  </si>
  <si>
    <t>1 South African Rand = 0.06141869 Gibraltar pound</t>
  </si>
  <si>
    <t>1 South African Rand = 1.00830101 Swazi lilangeni</t>
  </si>
  <si>
    <t>1 South African Rand = 311.00193422 Ugandan shilling</t>
  </si>
  <si>
    <t>1 South African Rand = 0.53329294 Chinese Yuan</t>
  </si>
  <si>
    <t>1 South African Rand = 8.42194036 Icelandic Krona</t>
  </si>
  <si>
    <t>1 South African Rand = 0.11088595 Singapore Dollar</t>
  </si>
  <si>
    <t>1 South African Rand = 0.32084982 Turkish Lira</t>
  </si>
  <si>
    <t>1 South African Rand = 1.40537933 Moldova Lei</t>
  </si>
  <si>
    <t>1 South African Rand = 5.91056557 Afghan afghani</t>
  </si>
  <si>
    <t>1 South African Rand = 1.00830101 Namibian dollar</t>
  </si>
  <si>
    <t>1 South African Rand = 43.54027079 Syrian pound</t>
  </si>
  <si>
    <t>1 South African Rand = 1.28231052 Eritrean nakfa</t>
  </si>
  <si>
    <t>1 South African Rand = 9.17808327 Vanuatu vatu</t>
  </si>
  <si>
    <t>1 South African Rand = 0.29067804 Israeli New Sheqel</t>
  </si>
  <si>
    <t>1 South African Rand = 0.69482854 Swedish Krona</t>
  </si>
  <si>
    <t>1 South African Rand = 4.39069727 Philippine Peso</t>
  </si>
  <si>
    <t>1 South African Rand = 690.71056516 Uzbekistan Sum</t>
  </si>
  <si>
    <t>1 South African Rand = 2.33251451 Ethiopian birr</t>
  </si>
  <si>
    <t>1 South African Rand = 0.66182816 Solomon Islands dollar</t>
  </si>
  <si>
    <t>1 South African Rand = 0.15185256 Neth. Antillean Guilder</t>
  </si>
  <si>
    <t>1 South African Rand = 0.68501975 Macanese pataca</t>
  </si>
  <si>
    <t>1 South African Rand = 0.02524196 Kuwaiti Dinar</t>
  </si>
  <si>
    <t>1 South African Rand = 2.77733910 Mauritian Rupee</t>
  </si>
  <si>
    <t>1 South African Rand = 0.56988789 Trinidad Tobago Dollar</t>
  </si>
  <si>
    <t>1 South African Rand = 2.46730297 New Taiwan Dollar</t>
  </si>
  <si>
    <t>1 South African Rand = 3,154.04135144 Iranian rial</t>
  </si>
  <si>
    <t>1 South African Rand = 4.22255216 Macedonian denar</t>
  </si>
  <si>
    <t>1 South African Rand = 149.74767442 Burundian franc</t>
  </si>
  <si>
    <t>1 South African Rand = 0.82528945 Zambian kwacha</t>
  </si>
  <si>
    <t>1 South African Rand = 21.27217316 Yemeni rial</t>
  </si>
  <si>
    <t>1 South African Rand = 0.11111673 Brunei Dollar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</si>
  <si>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</si>
  <si>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</si>
  <si>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</si>
  <si>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</si>
  <si>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</si>
  <si>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</si>
  <si>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</si>
  <si>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</si>
  <si>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</si>
  <si>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</si>
  <si>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</si>
  <si>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</si>
  <si>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</si>
  <si>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</si>
  <si>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</si>
  <si>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</si>
  <si>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</si>
  <si>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</si>
  <si>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</si>
  <si>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</si>
  <si>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</si>
  <si>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</si>
  <si>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</si>
  <si>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</si>
  <si>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</si>
  <si>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</si>
  <si>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</si>
  <si>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</si>
  <si>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</si>
  <si>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</si>
  <si>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</si>
  <si>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</si>
  <si>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</si>
  <si>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</si>
  <si>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</si>
  <si>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</si>
  <si>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</si>
  <si>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</si>
  <si>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</si>
  <si>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</si>
  <si>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</si>
  <si>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</si>
  <si>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</si>
  <si>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</si>
  <si>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</si>
  <si>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</si>
  <si>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</si>
  <si>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</si>
  <si>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</si>
  <si>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</si>
  <si>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</si>
  <si>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</si>
  <si>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</si>
  <si>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</si>
  <si>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</si>
  <si>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</si>
  <si>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</si>
  <si>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</si>
  <si>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</si>
  <si>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</si>
  <si>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</si>
  <si>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</si>
  <si>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</si>
  <si>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</si>
  <si>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</si>
  <si>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</si>
  <si>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</si>
  <si>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</si>
  <si>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</si>
  <si>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</si>
  <si>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</si>
  <si>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</si>
  <si>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</si>
  <si>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</si>
  <si>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</si>
  <si>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</si>
  <si>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</si>
  <si>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</si>
  <si>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</si>
  <si>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</si>
  <si>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</si>
  <si>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</si>
  <si>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</si>
  <si>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</si>
  <si>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</si>
  <si>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</si>
  <si>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</si>
  <si>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</si>
  <si>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</si>
  <si>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</si>
  <si>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</si>
  <si>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</si>
  <si>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</si>
  <si>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</si>
  <si>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</si>
  <si>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</si>
  <si>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</si>
  <si>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</si>
  <si>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</si>
  <si>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</si>
  <si>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</si>
  <si>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</si>
  <si>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</si>
  <si>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</si>
  <si>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</si>
  <si>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</si>
  <si>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</si>
  <si>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</si>
  <si>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</si>
  <si>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</si>
  <si>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</si>
  <si>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</si>
  <si>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</si>
  <si>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</si>
  <si>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</si>
  <si>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</si>
  <si>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</si>
  <si>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</si>
  <si>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</si>
  <si>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</si>
  <si>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</si>
  <si>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</si>
  <si>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</si>
  <si>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</si>
  <si>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</si>
  <si>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</si>
  <si>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</si>
  <si>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</si>
  <si>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</si>
  <si>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</si>
  <si>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</si>
  <si>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</si>
  <si>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</si>
  <si>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</si>
  <si>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</si>
  <si>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</si>
  <si>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</si>
  <si>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</si>
  <si>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</si>
  <si>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</si>
  <si>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</si>
  <si>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</si>
  <si>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</si>
  <si>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</si>
  <si>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</si>
  <si>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</si>
  <si>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</si>
  <si>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</si>
  <si>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</si>
  <si>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</si>
  <si>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</si>
  <si>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</si>
  <si>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0.08419248</t>
  </si>
  <si>
    <t>0.06826863</t>
  </si>
  <si>
    <t>0.06082814</t>
  </si>
  <si>
    <t>8.96717022</t>
  </si>
  <si>
    <t>0.07983354</t>
  </si>
  <si>
    <t>0.10843253</t>
  </si>
  <si>
    <t>0.10788059</t>
  </si>
  <si>
    <t>0.65642995</t>
  </si>
  <si>
    <t>3,076.03916274</t>
  </si>
  <si>
    <t>25.86791655</t>
  </si>
  <si>
    <t>128.21434789</t>
  </si>
  <si>
    <t>1.73216267</t>
  </si>
  <si>
    <t>768.35771983</t>
  </si>
  <si>
    <t>0.20825117</t>
  </si>
  <si>
    <t>1.14442767</t>
  </si>
  <si>
    <t>241.81949956</t>
  </si>
  <si>
    <t>0.28657888</t>
  </si>
  <si>
    <t>4.17001778</t>
  </si>
  <si>
    <t>7.02287119</t>
  </si>
  <si>
    <t>2.40146608</t>
  </si>
  <si>
    <t>0.17137750</t>
  </si>
  <si>
    <t>73.51388775</t>
  </si>
  <si>
    <t>662.13315027</t>
  </si>
  <si>
    <t>191.70499481</t>
  </si>
  <si>
    <t>21.28275573</t>
  </si>
  <si>
    <t>0.31587610</t>
  </si>
  <si>
    <t>0.50693978</t>
  </si>
  <si>
    <t>5.75123464</t>
  </si>
  <si>
    <t>2.63123814</t>
  </si>
  <si>
    <t>11.22522606</t>
  </si>
  <si>
    <t>1.53918472</t>
  </si>
  <si>
    <t>5.30195179</t>
  </si>
  <si>
    <t>203.51684647</t>
  </si>
  <si>
    <t>1,161.19355438</t>
  </si>
  <si>
    <t>13.10503918</t>
  </si>
  <si>
    <t>1.57231305</t>
  </si>
  <si>
    <t>0.74704130</t>
  </si>
  <si>
    <t>0.08516056</t>
  </si>
  <si>
    <t>0.23066767</t>
  </si>
  <si>
    <t>5.46322789</t>
  </si>
  <si>
    <t>0.18267484</t>
  </si>
  <si>
    <t>9.62621110</t>
  </si>
  <si>
    <t>89.96606960</t>
  </si>
  <si>
    <t>2.63906817</t>
  </si>
  <si>
    <t>44.98430207</t>
  </si>
  <si>
    <t>1.48043664</t>
  </si>
  <si>
    <t>4.06457973</t>
  </si>
  <si>
    <t>0.15183651</t>
  </si>
  <si>
    <t>61.73271476</t>
  </si>
  <si>
    <t>0.62784747</t>
  </si>
  <si>
    <t>0.80773292</t>
  </si>
  <si>
    <t>0.32949720</t>
  </si>
  <si>
    <t>0.11582993</t>
  </si>
  <si>
    <t>0.30934947</t>
  </si>
  <si>
    <t>0.27318543</t>
  </si>
  <si>
    <t>0.06005324</t>
  </si>
  <si>
    <t>0.77940273</t>
  </si>
  <si>
    <t>15.05242194</t>
  </si>
  <si>
    <t>112.60414860</t>
  </si>
  <si>
    <t>1.31517523</t>
  </si>
  <si>
    <t>50.94532244</t>
  </si>
  <si>
    <t>9.32056192</t>
  </si>
  <si>
    <t>0.27413378</t>
  </si>
  <si>
    <t>0.16502526</t>
  </si>
  <si>
    <t>469.98775946</t>
  </si>
  <si>
    <t>0.17099000</t>
  </si>
  <si>
    <t>137.95765109</t>
  </si>
  <si>
    <t>2.01236546</t>
  </si>
  <si>
    <t>49.21489762</t>
  </si>
  <si>
    <t>0.50874034</t>
  </si>
  <si>
    <t>4.78703993</t>
  </si>
  <si>
    <t>0.31767208</t>
  </si>
  <si>
    <t>40.75157398</t>
  </si>
  <si>
    <t>48.20580121</t>
  </si>
  <si>
    <t>10.84399197</t>
  </si>
  <si>
    <t>11.20858831</t>
  </si>
  <si>
    <t>1.00830101</t>
  </si>
  <si>
    <t>0.21627590</t>
  </si>
  <si>
    <t>5.47987284</t>
  </si>
  <si>
    <t>0.65995559</t>
  </si>
  <si>
    <t>0.29569727</t>
  </si>
  <si>
    <t>270.08062708</t>
  </si>
  <si>
    <t>0.63590570</t>
  </si>
  <si>
    <t>0.37871084</t>
  </si>
  <si>
    <t>2.99651499</t>
  </si>
  <si>
    <t>0.13407007</t>
  </si>
  <si>
    <t>26.96876297</t>
  </si>
  <si>
    <t>2.20160016</t>
  </si>
  <si>
    <t>0.74485689</t>
  </si>
  <si>
    <t>7.68357720</t>
  </si>
  <si>
    <t>704.32790985</t>
  </si>
  <si>
    <t>0.03168370</t>
  </si>
  <si>
    <t>0.06311757</t>
  </si>
  <si>
    <t>8.78151516</t>
  </si>
  <si>
    <t>0.20452475</t>
  </si>
  <si>
    <t>1,924.06363048</t>
  </si>
  <si>
    <t>8.08278320</t>
  </si>
  <si>
    <t>101.39936034</t>
  </si>
  <si>
    <t>8.18076657</t>
  </si>
  <si>
    <t>18.18770805</t>
  </si>
  <si>
    <t>342.50987749</t>
  </si>
  <si>
    <t>0.03238911</t>
  </si>
  <si>
    <t>0.16855731</t>
  </si>
  <si>
    <t>0.27455670</t>
  </si>
  <si>
    <t>1.71574023</t>
  </si>
  <si>
    <t>33.72442052</t>
  </si>
  <si>
    <t>9.04661694</t>
  </si>
  <si>
    <t>8.61744047</t>
  </si>
  <si>
    <t>1.73734851</t>
  </si>
  <si>
    <t>0.30689186</t>
  </si>
  <si>
    <t>0.13336833</t>
  </si>
  <si>
    <t>0.14408612</t>
  </si>
  <si>
    <t>0.58375639</t>
  </si>
  <si>
    <t>17.62764000</t>
  </si>
  <si>
    <t>0.06141869</t>
  </si>
  <si>
    <t>311.00193422</t>
  </si>
  <si>
    <t>0.53329294</t>
  </si>
  <si>
    <t>8.42194036</t>
  </si>
  <si>
    <t>0.11088595</t>
  </si>
  <si>
    <t>0.32084982</t>
  </si>
  <si>
    <t>1.40537933</t>
  </si>
  <si>
    <t>5.91056557</t>
  </si>
  <si>
    <t>43.54027079</t>
  </si>
  <si>
    <t>1.28231052</t>
  </si>
  <si>
    <t>9.17808327</t>
  </si>
  <si>
    <t>0.29067804</t>
  </si>
  <si>
    <t>0.69482854</t>
  </si>
  <si>
    <t>4.39069727</t>
  </si>
  <si>
    <t>690.71056516</t>
  </si>
  <si>
    <t>2.33251451</t>
  </si>
  <si>
    <t>0.66182816</t>
  </si>
  <si>
    <t>0.15185256</t>
  </si>
  <si>
    <t>0.68501975</t>
  </si>
  <si>
    <t>0.02524196</t>
  </si>
  <si>
    <t>2.77733910</t>
  </si>
  <si>
    <t>0.56988789</t>
  </si>
  <si>
    <t>2.46730297</t>
  </si>
  <si>
    <t>3,154.04135144</t>
  </si>
  <si>
    <t>4.22255216</t>
  </si>
  <si>
    <t>149.74767442</t>
  </si>
  <si>
    <t>0.82528945</t>
  </si>
  <si>
    <t>21.27217316</t>
  </si>
  <si>
    <t>0.11111673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</si>
  <si>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</si>
  <si>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</si>
  <si>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</si>
  <si>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</si>
  <si>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</si>
  <si>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</si>
  <si>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</si>
  <si>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</si>
  <si>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</si>
  <si>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</si>
  <si>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</si>
  <si>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</si>
  <si>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</si>
  <si>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</si>
  <si>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</si>
  <si>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</si>
  <si>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</si>
  <si>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</si>
  <si>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</si>
  <si>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</si>
  <si>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</si>
  <si>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</si>
  <si>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</si>
  <si>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</si>
  <si>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</si>
  <si>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</si>
  <si>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</si>
  <si>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</si>
  <si>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+</t>
  </si>
  <si>
    <t>-</t>
  </si>
  <si>
    <t>POINT</t>
  </si>
  <si>
    <t>Country:</t>
  </si>
  <si>
    <t>Currency:</t>
  </si>
  <si>
    <t>Inventory</t>
  </si>
  <si>
    <t>Cash Handled</t>
  </si>
  <si>
    <t>Dispatched By</t>
  </si>
  <si>
    <t>Driver 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</si>
</sst>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3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Encode Sans Condensed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1"/>
      <name val="Encode Sans Condensed Medium"/>
    </font>
    <font>
      <sz val="8"/>
      <color theme="1"/>
      <name val="Encode Sans Condensed ExtraBold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double">
        <color theme="1" tint="0.24994659260841701"/>
      </top>
      <bottom style="thin">
        <color theme="1" tint="0.2499465926084170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37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21" fillId="0" borderId="0" xfId="2" applyNumberFormat="1"/>
    <xf numFmtId="0" fontId="5" fillId="10" borderId="35" xfId="0" applyFont="1" applyFill="1" applyBorder="1"/>
    <xf numFmtId="0" fontId="26" fillId="0" borderId="0" xfId="0" applyFont="1" applyBorder="1" applyAlignment="1">
      <alignment vertical="center"/>
    </xf>
    <xf numFmtId="0" fontId="26" fillId="4" borderId="0" xfId="0" applyFont="1" applyFill="1" applyBorder="1" applyAlignment="1">
      <alignment vertical="center"/>
    </xf>
    <xf numFmtId="0" fontId="0" fillId="0" borderId="0" xfId="0"/>
    <xf numFmtId="0" fontId="27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43" fontId="0" fillId="0" borderId="0" xfId="0" applyNumberFormat="1"/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Border="1" applyAlignment="1">
      <alignment vertical="center"/>
    </xf>
    <xf numFmtId="0" fontId="25" fillId="4" borderId="0" xfId="0" applyFont="1" applyFill="1" applyBorder="1" applyAlignment="1">
      <alignment horizontal="left" vertical="center" indent="1"/>
    </xf>
    <xf numFmtId="0" fontId="22" fillId="0" borderId="0" xfId="0" applyFont="1" applyBorder="1" applyAlignment="1">
      <alignment vertical="center"/>
    </xf>
    <xf numFmtId="0" fontId="0" fillId="0" borderId="0" xfId="0" applyBorder="1"/>
    <xf numFmtId="43" fontId="28" fillId="8" borderId="0" xfId="0" applyNumberFormat="1" applyFont="1" applyFill="1" applyAlignment="1">
      <alignment horizontal="left" vertical="center"/>
    </xf>
    <xf numFmtId="43" fontId="0" fillId="8" borderId="0" xfId="0" applyNumberFormat="1" applyFill="1"/>
    <xf numFmtId="0" fontId="23" fillId="0" borderId="0" xfId="0" applyFont="1" applyBorder="1"/>
    <xf numFmtId="0" fontId="0" fillId="4" borderId="0" xfId="0" applyFill="1" applyBorder="1"/>
    <xf numFmtId="0" fontId="24" fillId="4" borderId="0" xfId="0" applyFont="1" applyFill="1" applyBorder="1" applyAlignment="1">
      <alignment horizontal="left" vertical="center"/>
    </xf>
    <xf numFmtId="0" fontId="25" fillId="4" borderId="0" xfId="0" applyFont="1" applyFill="1" applyBorder="1" applyAlignment="1">
      <alignment horizontal="left" vertical="center"/>
    </xf>
    <xf numFmtId="0" fontId="25" fillId="4" borderId="0" xfId="0" applyFont="1" applyFill="1" applyBorder="1" applyAlignment="1">
      <alignment horizontal="right" vertical="center"/>
    </xf>
    <xf numFmtId="0" fontId="23" fillId="0" borderId="52" xfId="0" applyFont="1" applyBorder="1"/>
    <xf numFmtId="0" fontId="31" fillId="0" borderId="0" xfId="0" applyFont="1" applyBorder="1"/>
    <xf numFmtId="0" fontId="23" fillId="0" borderId="0" xfId="0" applyFont="1" applyFill="1" applyBorder="1" applyAlignment="1">
      <alignment horizontal="left" vertical="center"/>
    </xf>
    <xf numFmtId="0" fontId="25" fillId="4" borderId="0" xfId="0" applyFont="1" applyFill="1" applyBorder="1" applyAlignment="1">
      <alignment horizontal="left" vertical="center" indent="1"/>
    </xf>
    <xf numFmtId="0" fontId="24" fillId="4" borderId="0" xfId="0" applyFont="1" applyFill="1" applyBorder="1" applyAlignment="1">
      <alignment vertical="center"/>
    </xf>
    <xf numFmtId="43" fontId="23" fillId="0" borderId="53" xfId="0" applyNumberFormat="1" applyFont="1" applyBorder="1" applyAlignment="1">
      <alignment vertical="center"/>
    </xf>
    <xf numFmtId="0" fontId="24" fillId="4" borderId="0" xfId="0" applyFont="1" applyFill="1" applyBorder="1" applyAlignment="1">
      <alignment horizontal="left" vertical="center"/>
    </xf>
    <xf numFmtId="0" fontId="23" fillId="0" borderId="53" xfId="0" applyFont="1" applyFill="1" applyBorder="1" applyAlignment="1">
      <alignment horizontal="left" vertical="center"/>
    </xf>
    <xf numFmtId="43" fontId="23" fillId="0" borderId="49" xfId="0" applyNumberFormat="1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3" fillId="0" borderId="0" xfId="0" applyFont="1" applyFill="1" applyBorder="1" applyAlignment="1">
      <alignment horizontal="center" vertical="center"/>
    </xf>
    <xf numFmtId="0" fontId="23" fillId="0" borderId="51" xfId="0" applyFont="1" applyBorder="1" applyAlignment="1">
      <alignment vertical="center"/>
    </xf>
    <xf numFmtId="0" fontId="23" fillId="0" borderId="0" xfId="0" applyFont="1" applyBorder="1" applyAlignment="1">
      <alignment horizontal="center" vertical="center"/>
    </xf>
    <xf numFmtId="0" fontId="23" fillId="0" borderId="54" xfId="0" applyFont="1" applyFill="1" applyBorder="1" applyAlignment="1">
      <alignment horizontal="left" vertical="center"/>
    </xf>
    <xf numFmtId="0" fontId="23" fillId="0" borderId="55" xfId="0" applyFont="1" applyBorder="1" applyAlignment="1">
      <alignment vertical="center"/>
    </xf>
    <xf numFmtId="43" fontId="23" fillId="0" borderId="50" xfId="0" applyNumberFormat="1" applyFont="1" applyBorder="1" applyAlignment="1">
      <alignment vertical="center"/>
    </xf>
    <xf numFmtId="43" fontId="30" fillId="0" borderId="48" xfId="0" applyNumberFormat="1" applyFont="1" applyBorder="1" applyAlignment="1">
      <alignment vertical="center"/>
    </xf>
    <xf numFmtId="0" fontId="30" fillId="0" borderId="0" xfId="0" applyFont="1" applyBorder="1" applyAlignment="1">
      <alignment vertical="center"/>
    </xf>
    <xf numFmtId="43" fontId="23" fillId="0" borderId="48" xfId="0" applyNumberFormat="1" applyFont="1" applyBorder="1"/>
    <xf numFmtId="0" fontId="23" fillId="0" borderId="48" xfId="0" applyFont="1" applyBorder="1"/>
    <xf numFmtId="43" fontId="23" fillId="0" borderId="0" xfId="0" applyNumberFormat="1" applyFont="1" applyBorder="1" applyAlignment="1">
      <alignment vertical="center"/>
    </xf>
    <xf numFmtId="0" fontId="23" fillId="0" borderId="0" xfId="0" applyFont="1" applyFill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169" fontId="22" fillId="0" borderId="0" xfId="0" applyNumberFormat="1" applyFont="1" applyBorder="1" applyAlignment="1">
      <alignment horizontal="left" vertical="center"/>
    </xf>
    <xf numFmtId="0" fontId="22" fillId="0" borderId="0" xfId="0" applyNumberFormat="1" applyFont="1" applyBorder="1" applyAlignment="1">
      <alignment vertical="center"/>
    </xf>
    <xf numFmtId="0" fontId="29" fillId="0" borderId="0" xfId="0" applyFon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20" fillId="0" borderId="40" xfId="0" applyFont="1" applyBorder="1"/>
    <xf numFmtId="0" fontId="20" fillId="0" borderId="0" xfId="0" applyFont="1" applyBorder="1"/>
    <xf numFmtId="0" fontId="0" fillId="0" borderId="43" xfId="0" applyBorder="1"/>
    <xf numFmtId="0" fontId="0" fillId="0" borderId="0" xfId="0" applyBorder="1"/>
    <xf numFmtId="0" fontId="0" fillId="0" borderId="39" xfId="0" applyBorder="1"/>
    <xf numFmtId="0" fontId="0" fillId="0" borderId="38" xfId="0" applyBorder="1"/>
    <xf numFmtId="0" fontId="5" fillId="3" borderId="0" xfId="0" applyFont="1" applyFill="1" applyBorder="1"/>
    <xf numFmtId="0" fontId="0" fillId="0" borderId="0" xfId="0" applyBorder="1" applyAlignment="1"/>
    <xf numFmtId="0" fontId="17" fillId="0" borderId="0" xfId="0" applyFont="1" applyBorder="1"/>
    <xf numFmtId="0" fontId="0" fillId="8" borderId="0" xfId="0" applyNumberFormat="1" applyFill="1" applyBorder="1" applyAlignment="1">
      <alignment horizontal="right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49" fontId="0" fillId="8" borderId="0" xfId="0" applyNumberFormat="1" applyFill="1" applyBorder="1" applyAlignment="1">
      <alignment horizontal="right"/>
    </xf>
    <xf numFmtId="0" fontId="18" fillId="0" borderId="0" xfId="0" applyFont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</cellXfs>
  <cellStyles count="3">
    <cellStyle name="Hyperlink" xfId="2" builtinId="8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sel="14" val="1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sel="7" val="3"/>
</file>

<file path=xl/ctrlProps/ctrlProp5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6.xml><?xml version="1.0" encoding="utf-8"?>
<formControlPr xmlns="http://schemas.microsoft.com/office/spreadsheetml/2009/9/main" objectType="Drop" dropStyle="combo" dx="25" fmlaLink="$B$12" fmlaRange="Horses!$B$6:$B$42" noThreeD="1" sel="2" val="0"/>
</file>

<file path=xl/ctrlProps/ctrlProp7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8.xml><?xml version="1.0" encoding="utf-8"?>
<formControlPr xmlns="http://schemas.microsoft.com/office/spreadsheetml/2009/9/main" objectType="Drop" dropStyle="combo" dx="25" fmlaLink="$J$17" fmlaRange="Horses!$B$6:$B$42" noThreeD="1" sel="4" val="3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9524</xdr:colOff>
      <xdr:row>1</xdr:row>
      <xdr:rowOff>19050</xdr:rowOff>
    </xdr:from>
    <xdr:to>
      <xdr:col>44</xdr:col>
      <xdr:colOff>165099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0</xdr:rowOff>
        </xdr:from>
        <xdr:to>
          <xdr:col>45</xdr:col>
          <xdr:colOff>0</xdr:colOff>
          <xdr:row>7</xdr:row>
          <xdr:rowOff>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0</xdr:rowOff>
        </xdr:from>
        <xdr:to>
          <xdr:col>45</xdr:col>
          <xdr:colOff>0</xdr:colOff>
          <xdr:row>8</xdr:row>
          <xdr:rowOff>0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0</xdr:rowOff>
        </xdr:from>
        <xdr:to>
          <xdr:col>45</xdr:col>
          <xdr:colOff>0</xdr:colOff>
          <xdr:row>9</xdr:row>
          <xdr:rowOff>0</xdr:rowOff>
        </xdr:to>
        <xdr:sp macro="" textlink="">
          <xdr:nvSpPr>
            <xdr:cNvPr id="13316" name="Drop Dow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40</xdr:col>
      <xdr:colOff>158750</xdr:colOff>
      <xdr:row>17</xdr:row>
      <xdr:rowOff>25400</xdr:rowOff>
    </xdr:from>
    <xdr:to>
      <xdr:col>44</xdr:col>
      <xdr:colOff>153670</xdr:colOff>
      <xdr:row>18</xdr:row>
      <xdr:rowOff>41148</xdr:rowOff>
    </xdr:to>
    <xdr:sp macro="[0]!Add_Range" textlink="">
      <xdr:nvSpPr>
        <xdr:cNvPr id="3" name="Rectangle 2"/>
        <xdr:cNvSpPr/>
      </xdr:nvSpPr>
      <xdr:spPr>
        <a:xfrm>
          <a:off x="8153400" y="337820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_Remove_Row" textlink="">
      <xdr:nvSpPr>
        <xdr:cNvPr id="31" name="Rectangle 30"/>
        <xdr:cNvSpPr/>
      </xdr:nvSpPr>
      <xdr:spPr>
        <a:xfrm>
          <a:off x="8915400" y="25590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_Remove_Row" textlink="">
      <xdr:nvSpPr>
        <xdr:cNvPr id="32" name="Rectangle 31"/>
        <xdr:cNvSpPr/>
      </xdr:nvSpPr>
      <xdr:spPr>
        <a:xfrm>
          <a:off x="9099550" y="25590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28</xdr:col>
      <xdr:colOff>44450</xdr:colOff>
      <xdr:row>1</xdr:row>
      <xdr:rowOff>635000</xdr:rowOff>
    </xdr:from>
    <xdr:to>
      <xdr:col>34</xdr:col>
      <xdr:colOff>127000</xdr:colOff>
      <xdr:row>5</xdr:row>
      <xdr:rowOff>117348</xdr:rowOff>
    </xdr:to>
    <xdr:sp macro="" textlink="">
      <xdr:nvSpPr>
        <xdr:cNvPr id="4" name="popup1"/>
        <xdr:cNvSpPr/>
      </xdr:nvSpPr>
      <xdr:spPr>
        <a:xfrm>
          <a:off x="4292600" y="635000"/>
          <a:ext cx="1187450" cy="612648"/>
        </a:xfrm>
        <a:prstGeom prst="wedgeRectCallout">
          <a:avLst/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drivers to the "Drivers"</a:t>
          </a:r>
          <a:r>
            <a:rPr lang="en-ZA" sz="900" baseline="0"/>
            <a:t> sheet then select the name here</a:t>
          </a:r>
          <a:endParaRPr lang="en-ZA" sz="900"/>
        </a:p>
      </xdr:txBody>
    </xdr:sp>
    <xdr:clientData/>
  </xdr:twoCellAnchor>
  <xdr:twoCellAnchor>
    <xdr:from>
      <xdr:col>41</xdr:col>
      <xdr:colOff>133350</xdr:colOff>
      <xdr:row>1</xdr:row>
      <xdr:rowOff>622300</xdr:rowOff>
    </xdr:from>
    <xdr:to>
      <xdr:col>48</xdr:col>
      <xdr:colOff>31750</xdr:colOff>
      <xdr:row>5</xdr:row>
      <xdr:rowOff>104648</xdr:rowOff>
    </xdr:to>
    <xdr:sp macro="" textlink="">
      <xdr:nvSpPr>
        <xdr:cNvPr id="20" name="popup2" hidden="1"/>
        <xdr:cNvSpPr/>
      </xdr:nvSpPr>
      <xdr:spPr>
        <a:xfrm>
          <a:off x="6775450" y="622300"/>
          <a:ext cx="1187450" cy="612648"/>
        </a:xfrm>
        <a:prstGeom prst="wedgeRectCallout">
          <a:avLst/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horses</a:t>
          </a:r>
          <a:r>
            <a:rPr lang="en-ZA" sz="900" baseline="0"/>
            <a:t> to the "Horses" sheet and then select it here</a:t>
          </a:r>
          <a:endParaRPr lang="en-ZA" sz="900"/>
        </a:p>
      </xdr:txBody>
    </xdr:sp>
    <xdr:clientData/>
  </xdr:twoCellAnchor>
  <xdr:twoCellAnchor>
    <xdr:from>
      <xdr:col>45</xdr:col>
      <xdr:colOff>19050</xdr:colOff>
      <xdr:row>6</xdr:row>
      <xdr:rowOff>101600</xdr:rowOff>
    </xdr:from>
    <xdr:to>
      <xdr:col>51</xdr:col>
      <xdr:colOff>101600</xdr:colOff>
      <xdr:row>10</xdr:row>
      <xdr:rowOff>79248</xdr:rowOff>
    </xdr:to>
    <xdr:sp macro="" textlink="">
      <xdr:nvSpPr>
        <xdr:cNvPr id="21" name="popup3" hidden="1"/>
        <xdr:cNvSpPr/>
      </xdr:nvSpPr>
      <xdr:spPr>
        <a:xfrm>
          <a:off x="7397750" y="1390650"/>
          <a:ext cx="1187450" cy="612648"/>
        </a:xfrm>
        <a:prstGeom prst="wedgeRectCallout">
          <a:avLst>
            <a:gd name="adj1" fmla="val -55592"/>
            <a:gd name="adj2" fmla="val -23528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trailers to the "Trailers" sheet then select it</a:t>
          </a:r>
          <a:r>
            <a:rPr lang="en-ZA" sz="900" baseline="0"/>
            <a:t> here</a:t>
          </a:r>
          <a:endParaRPr lang="en-ZA" sz="900"/>
        </a:p>
      </xdr:txBody>
    </xdr:sp>
    <xdr:clientData/>
  </xdr:twoCellAnchor>
  <xdr:twoCellAnchor>
    <xdr:from>
      <xdr:col>9</xdr:col>
      <xdr:colOff>44450</xdr:colOff>
      <xdr:row>6</xdr:row>
      <xdr:rowOff>139700</xdr:rowOff>
    </xdr:from>
    <xdr:to>
      <xdr:col>15</xdr:col>
      <xdr:colOff>127000</xdr:colOff>
      <xdr:row>10</xdr:row>
      <xdr:rowOff>117348</xdr:rowOff>
    </xdr:to>
    <xdr:sp macro="" textlink="">
      <xdr:nvSpPr>
        <xdr:cNvPr id="23" name="popup4" hidden="1"/>
        <xdr:cNvSpPr/>
      </xdr:nvSpPr>
      <xdr:spPr>
        <a:xfrm>
          <a:off x="793750" y="1428750"/>
          <a:ext cx="1187450" cy="612648"/>
        </a:xfrm>
        <a:prstGeom prst="wedgeRectCallout">
          <a:avLst/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Select the country by clicking</a:t>
          </a:r>
          <a:r>
            <a:rPr lang="en-ZA" sz="900" baseline="0"/>
            <a:t> on this cell.  </a:t>
          </a:r>
          <a:endParaRPr lang="en-ZA" sz="900"/>
        </a:p>
      </xdr:txBody>
    </xdr:sp>
    <xdr:clientData/>
  </xdr:twoCellAnchor>
  <xdr:twoCellAnchor>
    <xdr:from>
      <xdr:col>20</xdr:col>
      <xdr:colOff>19050</xdr:colOff>
      <xdr:row>7</xdr:row>
      <xdr:rowOff>0</xdr:rowOff>
    </xdr:from>
    <xdr:to>
      <xdr:col>32</xdr:col>
      <xdr:colOff>152400</xdr:colOff>
      <xdr:row>10</xdr:row>
      <xdr:rowOff>117348</xdr:rowOff>
    </xdr:to>
    <xdr:sp macro="" textlink="">
      <xdr:nvSpPr>
        <xdr:cNvPr id="24" name="popup5" hidden="1"/>
        <xdr:cNvSpPr/>
      </xdr:nvSpPr>
      <xdr:spPr>
        <a:xfrm>
          <a:off x="2794000" y="1447800"/>
          <a:ext cx="2343150" cy="593598"/>
        </a:xfrm>
        <a:prstGeom prst="wedgeRectCallout">
          <a:avLst>
            <a:gd name="adj1" fmla="val -20488"/>
            <a:gd name="adj2" fmla="val 68031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The currency</a:t>
          </a:r>
          <a:r>
            <a:rPr lang="en-ZA" sz="900" baseline="0"/>
            <a:t> will be auto populated when a country is selected.  Do not type over this, it contains a formula!</a:t>
          </a:r>
          <a:endParaRPr lang="en-ZA" sz="900"/>
        </a:p>
      </xdr:txBody>
    </xdr:sp>
    <xdr:clientData/>
  </xdr:twoCellAnchor>
  <xdr:twoCellAnchor>
    <xdr:from>
      <xdr:col>33</xdr:col>
      <xdr:colOff>158750</xdr:colOff>
      <xdr:row>6</xdr:row>
      <xdr:rowOff>63500</xdr:rowOff>
    </xdr:from>
    <xdr:to>
      <xdr:col>44</xdr:col>
      <xdr:colOff>57150</xdr:colOff>
      <xdr:row>10</xdr:row>
      <xdr:rowOff>107950</xdr:rowOff>
    </xdr:to>
    <xdr:sp macro="" textlink="">
      <xdr:nvSpPr>
        <xdr:cNvPr id="25" name="popup6" hidden="1"/>
        <xdr:cNvSpPr/>
      </xdr:nvSpPr>
      <xdr:spPr>
        <a:xfrm>
          <a:off x="5327650" y="1352550"/>
          <a:ext cx="1924050" cy="679450"/>
        </a:xfrm>
        <a:prstGeom prst="wedgeRectCallout">
          <a:avLst>
            <a:gd name="adj1" fmla="val -20488"/>
            <a:gd name="adj2" fmla="val 68031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The current</a:t>
          </a:r>
          <a:r>
            <a:rPr lang="en-ZA" sz="900" baseline="0"/>
            <a:t> exchange rate will be displayed here depening on the country selected.  Do not type over this, it contains a formula!</a:t>
          </a:r>
          <a:endParaRPr lang="en-ZA" sz="900"/>
        </a:p>
      </xdr:txBody>
    </xdr:sp>
    <xdr:clientData/>
  </xdr:twoCellAnchor>
  <xdr:twoCellAnchor>
    <xdr:from>
      <xdr:col>7</xdr:col>
      <xdr:colOff>38100</xdr:colOff>
      <xdr:row>14</xdr:row>
      <xdr:rowOff>82550</xdr:rowOff>
    </xdr:from>
    <xdr:to>
      <xdr:col>13</xdr:col>
      <xdr:colOff>120650</xdr:colOff>
      <xdr:row>18</xdr:row>
      <xdr:rowOff>79248</xdr:rowOff>
    </xdr:to>
    <xdr:sp macro="" textlink="">
      <xdr:nvSpPr>
        <xdr:cNvPr id="26" name="popup9" hidden="1"/>
        <xdr:cNvSpPr/>
      </xdr:nvSpPr>
      <xdr:spPr>
        <a:xfrm>
          <a:off x="419100" y="2641600"/>
          <a:ext cx="1187450" cy="612648"/>
        </a:xfrm>
        <a:prstGeom prst="wedgeRectCallout">
          <a:avLst>
            <a:gd name="adj1" fmla="val -24042"/>
            <a:gd name="adj2" fmla="val -64988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Add items to the inventory sheet</a:t>
          </a:r>
          <a:r>
            <a:rPr lang="en-ZA" sz="900" baseline="0"/>
            <a:t> then select it here</a:t>
          </a:r>
          <a:endParaRPr lang="en-ZA" sz="900"/>
        </a:p>
      </xdr:txBody>
    </xdr:sp>
    <xdr:clientData/>
  </xdr:twoCellAnchor>
  <xdr:twoCellAnchor>
    <xdr:from>
      <xdr:col>16</xdr:col>
      <xdr:colOff>146050</xdr:colOff>
      <xdr:row>12</xdr:row>
      <xdr:rowOff>120650</xdr:rowOff>
    </xdr:from>
    <xdr:to>
      <xdr:col>23</xdr:col>
      <xdr:colOff>44450</xdr:colOff>
      <xdr:row>15</xdr:row>
      <xdr:rowOff>69850</xdr:rowOff>
    </xdr:to>
    <xdr:sp macro="" textlink="">
      <xdr:nvSpPr>
        <xdr:cNvPr id="27" name="popup10" hidden="1"/>
        <xdr:cNvSpPr/>
      </xdr:nvSpPr>
      <xdr:spPr>
        <a:xfrm>
          <a:off x="2184400" y="23622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43</xdr:col>
      <xdr:colOff>57150</xdr:colOff>
      <xdr:row>10</xdr:row>
      <xdr:rowOff>114300</xdr:rowOff>
    </xdr:from>
    <xdr:to>
      <xdr:col>52</xdr:col>
      <xdr:colOff>82550</xdr:colOff>
      <xdr:row>13</xdr:row>
      <xdr:rowOff>63500</xdr:rowOff>
    </xdr:to>
    <xdr:sp macro="" textlink="">
      <xdr:nvSpPr>
        <xdr:cNvPr id="28" name="popup7" hidden="1"/>
        <xdr:cNvSpPr/>
      </xdr:nvSpPr>
      <xdr:spPr>
        <a:xfrm>
          <a:off x="7067550" y="2038350"/>
          <a:ext cx="1682750" cy="425450"/>
        </a:xfrm>
        <a:prstGeom prst="wedgeRectCallout">
          <a:avLst>
            <a:gd name="adj1" fmla="val -25647"/>
            <a:gd name="adj2" fmla="val 68883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Click the + to add another row.</a:t>
          </a:r>
          <a:r>
            <a:rPr lang="en-ZA" sz="900" baseline="0"/>
            <a:t>  Click the - to delete a row.</a:t>
          </a:r>
          <a:endParaRPr lang="en-ZA" sz="900"/>
        </a:p>
      </xdr:txBody>
    </xdr:sp>
    <xdr:clientData/>
  </xdr:twoCellAnchor>
  <xdr:twoCellAnchor>
    <xdr:from>
      <xdr:col>47</xdr:col>
      <xdr:colOff>76200</xdr:colOff>
      <xdr:row>13</xdr:row>
      <xdr:rowOff>146050</xdr:rowOff>
    </xdr:from>
    <xdr:to>
      <xdr:col>56</xdr:col>
      <xdr:colOff>101600</xdr:colOff>
      <xdr:row>16</xdr:row>
      <xdr:rowOff>95250</xdr:rowOff>
    </xdr:to>
    <xdr:sp macro="" textlink="">
      <xdr:nvSpPr>
        <xdr:cNvPr id="29" name="popup8" hidden="1"/>
        <xdr:cNvSpPr/>
      </xdr:nvSpPr>
      <xdr:spPr>
        <a:xfrm>
          <a:off x="7823200" y="2546350"/>
          <a:ext cx="1682750" cy="425450"/>
        </a:xfrm>
        <a:prstGeom prst="wedgeRectCallout">
          <a:avLst>
            <a:gd name="adj1" fmla="val -55458"/>
            <a:gd name="adj2" fmla="val -23654"/>
          </a:avLst>
        </a:prstGeom>
        <a:solidFill>
          <a:srgbClr val="E94747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 b="1">
              <a:solidFill>
                <a:schemeClr val="bg1"/>
              </a:solidFill>
            </a:rPr>
            <a:t>Don't delete the first line!!</a:t>
          </a:r>
        </a:p>
      </xdr:txBody>
    </xdr:sp>
    <xdr:clientData/>
  </xdr:twoCellAnchor>
  <xdr:twoCellAnchor>
    <xdr:from>
      <xdr:col>41</xdr:col>
      <xdr:colOff>95250</xdr:colOff>
      <xdr:row>18</xdr:row>
      <xdr:rowOff>120650</xdr:rowOff>
    </xdr:from>
    <xdr:to>
      <xdr:col>51</xdr:col>
      <xdr:colOff>76200</xdr:colOff>
      <xdr:row>22</xdr:row>
      <xdr:rowOff>117348</xdr:rowOff>
    </xdr:to>
    <xdr:sp macro="" textlink="">
      <xdr:nvSpPr>
        <xdr:cNvPr id="30" name="popup11" hidden="1"/>
        <xdr:cNvSpPr/>
      </xdr:nvSpPr>
      <xdr:spPr>
        <a:xfrm>
          <a:off x="6737350" y="3295650"/>
          <a:ext cx="1822450" cy="612648"/>
        </a:xfrm>
        <a:prstGeom prst="wedgeRectCallout">
          <a:avLst>
            <a:gd name="adj1" fmla="val -24042"/>
            <a:gd name="adj2" fmla="val -64988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Click</a:t>
          </a:r>
          <a:r>
            <a:rPr lang="en-ZA" sz="900" baseline="0"/>
            <a:t> this to add another point / country.  You cannot currenty delete a point / country</a:t>
          </a:r>
          <a:endParaRPr lang="en-ZA" sz="900"/>
        </a:p>
      </xdr:txBody>
    </xdr:sp>
    <xdr:clientData/>
  </xdr:twoCellAnchor>
  <xdr:twoCellAnchor>
    <xdr:from>
      <xdr:col>47</xdr:col>
      <xdr:colOff>114300</xdr:colOff>
      <xdr:row>1</xdr:row>
      <xdr:rowOff>527050</xdr:rowOff>
    </xdr:from>
    <xdr:to>
      <xdr:col>48</xdr:col>
      <xdr:colOff>113030</xdr:colOff>
      <xdr:row>2</xdr:row>
      <xdr:rowOff>55880</xdr:rowOff>
    </xdr:to>
    <xdr:sp macro="[0]!closepopup" textlink="">
      <xdr:nvSpPr>
        <xdr:cNvPr id="5" name="close2" hidden="1"/>
        <xdr:cNvSpPr/>
      </xdr:nvSpPr>
      <xdr:spPr>
        <a:xfrm rot="2700000">
          <a:off x="7861300" y="52705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34</xdr:col>
      <xdr:colOff>31749</xdr:colOff>
      <xdr:row>1</xdr:row>
      <xdr:rowOff>546100</xdr:rowOff>
    </xdr:from>
    <xdr:to>
      <xdr:col>35</xdr:col>
      <xdr:colOff>30479</xdr:colOff>
      <xdr:row>2</xdr:row>
      <xdr:rowOff>74930</xdr:rowOff>
    </xdr:to>
    <xdr:sp macro="[0]!closepopup" textlink="">
      <xdr:nvSpPr>
        <xdr:cNvPr id="22" name="close1"/>
        <xdr:cNvSpPr/>
      </xdr:nvSpPr>
      <xdr:spPr>
        <a:xfrm rot="2700000">
          <a:off x="5384799" y="54610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15</xdr:col>
      <xdr:colOff>25399</xdr:colOff>
      <xdr:row>6</xdr:row>
      <xdr:rowOff>50800</xdr:rowOff>
    </xdr:from>
    <xdr:to>
      <xdr:col>16</xdr:col>
      <xdr:colOff>24129</xdr:colOff>
      <xdr:row>7</xdr:row>
      <xdr:rowOff>74930</xdr:rowOff>
    </xdr:to>
    <xdr:sp macro="[0]!closepopup" textlink="">
      <xdr:nvSpPr>
        <xdr:cNvPr id="33" name="close4" hidden="1"/>
        <xdr:cNvSpPr/>
      </xdr:nvSpPr>
      <xdr:spPr>
        <a:xfrm rot="2700000">
          <a:off x="1879599" y="133985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32</xdr:col>
      <xdr:colOff>50799</xdr:colOff>
      <xdr:row>6</xdr:row>
      <xdr:rowOff>69851</xdr:rowOff>
    </xdr:from>
    <xdr:to>
      <xdr:col>33</xdr:col>
      <xdr:colOff>49529</xdr:colOff>
      <xdr:row>7</xdr:row>
      <xdr:rowOff>93981</xdr:rowOff>
    </xdr:to>
    <xdr:sp macro="[0]!closepopup" textlink="">
      <xdr:nvSpPr>
        <xdr:cNvPr id="34" name="close5" hidden="1"/>
        <xdr:cNvSpPr/>
      </xdr:nvSpPr>
      <xdr:spPr>
        <a:xfrm rot="2700000">
          <a:off x="5035549" y="1358901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43</xdr:col>
      <xdr:colOff>139699</xdr:colOff>
      <xdr:row>5</xdr:row>
      <xdr:rowOff>133352</xdr:rowOff>
    </xdr:from>
    <xdr:to>
      <xdr:col>44</xdr:col>
      <xdr:colOff>138429</xdr:colOff>
      <xdr:row>6</xdr:row>
      <xdr:rowOff>157482</xdr:rowOff>
    </xdr:to>
    <xdr:sp macro="[0]!closepopup" textlink="">
      <xdr:nvSpPr>
        <xdr:cNvPr id="35" name="close6" hidden="1"/>
        <xdr:cNvSpPr/>
      </xdr:nvSpPr>
      <xdr:spPr>
        <a:xfrm rot="2700000">
          <a:off x="7150099" y="12636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51</xdr:col>
      <xdr:colOff>6348</xdr:colOff>
      <xdr:row>6</xdr:row>
      <xdr:rowOff>12702</xdr:rowOff>
    </xdr:from>
    <xdr:to>
      <xdr:col>52</xdr:col>
      <xdr:colOff>5078</xdr:colOff>
      <xdr:row>7</xdr:row>
      <xdr:rowOff>36832</xdr:rowOff>
    </xdr:to>
    <xdr:sp macro="[0]!closepopup" textlink="">
      <xdr:nvSpPr>
        <xdr:cNvPr id="36" name="close3" hidden="1"/>
        <xdr:cNvSpPr/>
      </xdr:nvSpPr>
      <xdr:spPr>
        <a:xfrm rot="2700000">
          <a:off x="8489948" y="13017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22</xdr:col>
      <xdr:colOff>133348</xdr:colOff>
      <xdr:row>12</xdr:row>
      <xdr:rowOff>38102</xdr:rowOff>
    </xdr:from>
    <xdr:to>
      <xdr:col>23</xdr:col>
      <xdr:colOff>132078</xdr:colOff>
      <xdr:row>13</xdr:row>
      <xdr:rowOff>62232</xdr:rowOff>
    </xdr:to>
    <xdr:sp macro="[0]!closepopup" textlink="">
      <xdr:nvSpPr>
        <xdr:cNvPr id="37" name="close10" hidden="1"/>
        <xdr:cNvSpPr/>
      </xdr:nvSpPr>
      <xdr:spPr>
        <a:xfrm rot="2700000">
          <a:off x="3276598" y="22796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51</xdr:col>
      <xdr:colOff>165098</xdr:colOff>
      <xdr:row>10</xdr:row>
      <xdr:rowOff>25402</xdr:rowOff>
    </xdr:from>
    <xdr:to>
      <xdr:col>52</xdr:col>
      <xdr:colOff>163828</xdr:colOff>
      <xdr:row>11</xdr:row>
      <xdr:rowOff>49532</xdr:rowOff>
    </xdr:to>
    <xdr:sp macro="[0]!closepopup" textlink="">
      <xdr:nvSpPr>
        <xdr:cNvPr id="38" name="close7" hidden="1"/>
        <xdr:cNvSpPr/>
      </xdr:nvSpPr>
      <xdr:spPr>
        <a:xfrm rot="2700000">
          <a:off x="8648698" y="19494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56</xdr:col>
      <xdr:colOff>6348</xdr:colOff>
      <xdr:row>13</xdr:row>
      <xdr:rowOff>57152</xdr:rowOff>
    </xdr:from>
    <xdr:to>
      <xdr:col>57</xdr:col>
      <xdr:colOff>5078</xdr:colOff>
      <xdr:row>14</xdr:row>
      <xdr:rowOff>81282</xdr:rowOff>
    </xdr:to>
    <xdr:sp macro="[0]!closepopup" textlink="">
      <xdr:nvSpPr>
        <xdr:cNvPr id="39" name="close8" hidden="1"/>
        <xdr:cNvSpPr/>
      </xdr:nvSpPr>
      <xdr:spPr>
        <a:xfrm rot="2700000">
          <a:off x="9410698" y="245745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13</xdr:col>
      <xdr:colOff>25398</xdr:colOff>
      <xdr:row>13</xdr:row>
      <xdr:rowOff>152402</xdr:rowOff>
    </xdr:from>
    <xdr:to>
      <xdr:col>14</xdr:col>
      <xdr:colOff>24128</xdr:colOff>
      <xdr:row>15</xdr:row>
      <xdr:rowOff>17782</xdr:rowOff>
    </xdr:to>
    <xdr:sp macro="[0]!closepopup" textlink="">
      <xdr:nvSpPr>
        <xdr:cNvPr id="40" name="close9" hidden="1"/>
        <xdr:cNvSpPr/>
      </xdr:nvSpPr>
      <xdr:spPr>
        <a:xfrm rot="2700000">
          <a:off x="1511298" y="255270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50</xdr:col>
      <xdr:colOff>165100</xdr:colOff>
      <xdr:row>18</xdr:row>
      <xdr:rowOff>25400</xdr:rowOff>
    </xdr:from>
    <xdr:to>
      <xdr:col>51</xdr:col>
      <xdr:colOff>163830</xdr:colOff>
      <xdr:row>19</xdr:row>
      <xdr:rowOff>68580</xdr:rowOff>
    </xdr:to>
    <xdr:sp macro="[0]!closepopup" textlink="">
      <xdr:nvSpPr>
        <xdr:cNvPr id="41" name="close11" hidden="1"/>
        <xdr:cNvSpPr/>
      </xdr:nvSpPr>
      <xdr:spPr>
        <a:xfrm rot="2700000">
          <a:off x="8464550" y="3200400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46</xdr:col>
      <xdr:colOff>158750</xdr:colOff>
      <xdr:row>1</xdr:row>
      <xdr:rowOff>133350</xdr:rowOff>
    </xdr:from>
    <xdr:to>
      <xdr:col>51</xdr:col>
      <xdr:colOff>152400</xdr:colOff>
      <xdr:row>1</xdr:row>
      <xdr:rowOff>406400</xdr:rowOff>
    </xdr:to>
    <xdr:sp macro="[0]!Oval5_Click" textlink="">
      <xdr:nvSpPr>
        <xdr:cNvPr id="6" name="buttonhelp"/>
        <xdr:cNvSpPr/>
      </xdr:nvSpPr>
      <xdr:spPr>
        <a:xfrm>
          <a:off x="7721600" y="133350"/>
          <a:ext cx="914400" cy="273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/>
            <a:t>Help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kgs/" TargetMode="External"/><Relationship Id="rId366" Type="http://schemas.openxmlformats.org/officeDocument/2006/relationships/hyperlink" Target="http://www.floatrates.com/zar/dkk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ang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xcd/" TargetMode="External"/><Relationship Id="rId377" Type="http://schemas.openxmlformats.org/officeDocument/2006/relationships/hyperlink" Target="http://www.floatrates.com/zar/tmt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pen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bn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nok/" TargetMode="External"/><Relationship Id="rId346" Type="http://schemas.openxmlformats.org/officeDocument/2006/relationships/hyperlink" Target="http://www.floatrates.com/zar/gtq/" TargetMode="External"/><Relationship Id="rId388" Type="http://schemas.openxmlformats.org/officeDocument/2006/relationships/hyperlink" Target="http://www.floatrates.com/zar/lak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gy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bdt/" TargetMode="External"/><Relationship Id="rId357" Type="http://schemas.openxmlformats.org/officeDocument/2006/relationships/hyperlink" Target="http://www.floatrates.com/zar/clp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khr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yp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lr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ron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kwd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top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srd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bhd/" TargetMode="External"/><Relationship Id="rId404" Type="http://schemas.openxmlformats.org/officeDocument/2006/relationships/hyperlink" Target="http://www.floatrates.com/zar/b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ngn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myr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sz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fjd/" TargetMode="External"/><Relationship Id="rId359" Type="http://schemas.openxmlformats.org/officeDocument/2006/relationships/hyperlink" Target="http://www.floatrates.com/zar/brl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crc/" TargetMode="External"/><Relationship Id="rId426" Type="http://schemas.openxmlformats.org/officeDocument/2006/relationships/hyperlink" Target="http://www.floatrates.com/zar/vuv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mzn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mru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ttd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krw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aed/" TargetMode="External"/><Relationship Id="rId406" Type="http://schemas.openxmlformats.org/officeDocument/2006/relationships/hyperlink" Target="http://www.floatrates.com/zar/all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npr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stn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pyg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ny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sl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idr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ssp/" TargetMode="External"/><Relationship Id="rId428" Type="http://schemas.openxmlformats.org/officeDocument/2006/relationships/hyperlink" Target="http://www.floatrates.com/zar/sek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xof/" TargetMode="External"/><Relationship Id="rId383" Type="http://schemas.openxmlformats.org/officeDocument/2006/relationships/hyperlink" Target="http://www.floatrates.com/zar/kzt/" TargetMode="External"/><Relationship Id="rId439" Type="http://schemas.openxmlformats.org/officeDocument/2006/relationships/hyperlink" Target="http://www.floatrates.com/zar/irr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gel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jod/" TargetMode="External"/><Relationship Id="rId394" Type="http://schemas.openxmlformats.org/officeDocument/2006/relationships/hyperlink" Target="http://www.floatrates.com/zar/vnd/" TargetMode="External"/><Relationship Id="rId408" Type="http://schemas.openxmlformats.org/officeDocument/2006/relationships/hyperlink" Target="http://www.floatrates.com/zar/czk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huf/" TargetMode="External"/><Relationship Id="rId363" Type="http://schemas.openxmlformats.org/officeDocument/2006/relationships/hyperlink" Target="http://www.floatrates.com/zar/cdf/" TargetMode="External"/><Relationship Id="rId419" Type="http://schemas.openxmlformats.org/officeDocument/2006/relationships/hyperlink" Target="http://www.floatrates.com/zar/sgd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uzs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scr/" TargetMode="External"/><Relationship Id="rId332" Type="http://schemas.openxmlformats.org/officeDocument/2006/relationships/hyperlink" Target="http://www.floatrates.com/zar/mxn/" TargetMode="External"/><Relationship Id="rId353" Type="http://schemas.openxmlformats.org/officeDocument/2006/relationships/hyperlink" Target="http://www.floatrates.com/zar/mad/" TargetMode="External"/><Relationship Id="rId374" Type="http://schemas.openxmlformats.org/officeDocument/2006/relationships/hyperlink" Target="http://www.floatrates.com/zar/wst/" TargetMode="External"/><Relationship Id="rId395" Type="http://schemas.openxmlformats.org/officeDocument/2006/relationships/hyperlink" Target="http://www.floatrates.com/zar/rsd/" TargetMode="External"/><Relationship Id="rId409" Type="http://schemas.openxmlformats.org/officeDocument/2006/relationships/hyperlink" Target="http://www.floatrates.com/zar/qa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try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bif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sar/" TargetMode="External"/><Relationship Id="rId343" Type="http://schemas.openxmlformats.org/officeDocument/2006/relationships/hyperlink" Target="http://www.floatrates.com/zar/gmd/" TargetMode="External"/><Relationship Id="rId364" Type="http://schemas.openxmlformats.org/officeDocument/2006/relationships/hyperlink" Target="http://www.floatrates.com/zar/hnl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uah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gn/" TargetMode="External"/><Relationship Id="rId431" Type="http://schemas.openxmlformats.org/officeDocument/2006/relationships/hyperlink" Target="http://www.floatrates.com/zar/etb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cop/" TargetMode="External"/><Relationship Id="rId333" Type="http://schemas.openxmlformats.org/officeDocument/2006/relationships/hyperlink" Target="http://www.floatrates.com/zar/tjs/" TargetMode="External"/><Relationship Id="rId354" Type="http://schemas.openxmlformats.org/officeDocument/2006/relationships/hyperlink" Target="http://www.floatrates.com/zar/djf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inr/" TargetMode="External"/><Relationship Id="rId396" Type="http://schemas.openxmlformats.org/officeDocument/2006/relationships/hyperlink" Target="http://www.floatrates.com/zar/iqd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omr/" TargetMode="External"/><Relationship Id="rId421" Type="http://schemas.openxmlformats.org/officeDocument/2006/relationships/hyperlink" Target="http://www.floatrates.com/zar/mdl/" TargetMode="External"/><Relationship Id="rId442" Type="http://schemas.openxmlformats.org/officeDocument/2006/relationships/hyperlink" Target="http://www.floatrates.com/zar/zmw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hrk/" TargetMode="External"/><Relationship Id="rId344" Type="http://schemas.openxmlformats.org/officeDocument/2006/relationships/hyperlink" Target="http://www.floatrates.com/zar/awg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sos/" TargetMode="External"/><Relationship Id="rId386" Type="http://schemas.openxmlformats.org/officeDocument/2006/relationships/hyperlink" Target="http://www.floatrates.com/zar/svc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azn/" TargetMode="External"/><Relationship Id="rId432" Type="http://schemas.openxmlformats.org/officeDocument/2006/relationships/hyperlink" Target="http://www.floatrates.com/zar/sb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pln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pab/" TargetMode="External"/><Relationship Id="rId355" Type="http://schemas.openxmlformats.org/officeDocument/2006/relationships/hyperlink" Target="http://www.floatrates.com/zar/mmk/" TargetMode="External"/><Relationship Id="rId376" Type="http://schemas.openxmlformats.org/officeDocument/2006/relationships/hyperlink" Target="http://www.floatrates.com/zar/hkd/" TargetMode="External"/><Relationship Id="rId397" Type="http://schemas.openxmlformats.org/officeDocument/2006/relationships/hyperlink" Target="http://www.floatrates.com/zar/xpf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bbd/" TargetMode="External"/><Relationship Id="rId422" Type="http://schemas.openxmlformats.org/officeDocument/2006/relationships/hyperlink" Target="http://www.floatrates.com/zar/afn/" TargetMode="External"/><Relationship Id="rId443" Type="http://schemas.openxmlformats.org/officeDocument/2006/relationships/hyperlink" Target="http://www.floatrates.com/zar/yer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mwk/" TargetMode="External"/><Relationship Id="rId387" Type="http://schemas.openxmlformats.org/officeDocument/2006/relationships/hyperlink" Target="http://www.floatrates.com/zar/cve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bob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dop/" TargetMode="External"/><Relationship Id="rId356" Type="http://schemas.openxmlformats.org/officeDocument/2006/relationships/hyperlink" Target="http://www.floatrates.com/zar/mvr/" TargetMode="External"/><Relationship Id="rId398" Type="http://schemas.openxmlformats.org/officeDocument/2006/relationships/hyperlink" Target="http://www.floatrates.com/zar/aoa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nad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nio/" TargetMode="External"/><Relationship Id="rId367" Type="http://schemas.openxmlformats.org/officeDocument/2006/relationships/hyperlink" Target="http://www.floatrates.com/zar/rub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mop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ht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mga/" TargetMode="External"/><Relationship Id="rId403" Type="http://schemas.openxmlformats.org/officeDocument/2006/relationships/hyperlink" Target="http://www.floatrates.com/zar/ars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vef/" TargetMode="External"/><Relationship Id="rId347" Type="http://schemas.openxmlformats.org/officeDocument/2006/relationships/hyperlink" Target="http://www.floatrates.com/zar/bwp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cup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gip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uyu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pkr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ern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sdg/" TargetMode="External"/><Relationship Id="rId369" Type="http://schemas.openxmlformats.org/officeDocument/2006/relationships/hyperlink" Target="http://www.floatrates.com/zar/amd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ghs/" TargetMode="External"/><Relationship Id="rId436" Type="http://schemas.openxmlformats.org/officeDocument/2006/relationships/hyperlink" Target="http://www.floatrates.com/zar/mur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dzd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lyd/" TargetMode="External"/><Relationship Id="rId405" Type="http://schemas.openxmlformats.org/officeDocument/2006/relationships/hyperlink" Target="http://www.floatrates.com/zar/kmf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lbp/" TargetMode="External"/><Relationship Id="rId349" Type="http://schemas.openxmlformats.org/officeDocument/2006/relationships/hyperlink" Target="http://www.floatrates.com/zar/nzd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byn/" TargetMode="External"/><Relationship Id="rId416" Type="http://schemas.openxmlformats.org/officeDocument/2006/relationships/hyperlink" Target="http://www.floatrates.com/zar/ugx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rw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jmd/" TargetMode="External"/><Relationship Id="rId427" Type="http://schemas.openxmlformats.org/officeDocument/2006/relationships/hyperlink" Target="http://www.floatrates.com/zar/ils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mnt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thb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bam/" TargetMode="External"/><Relationship Id="rId438" Type="http://schemas.openxmlformats.org/officeDocument/2006/relationships/hyperlink" Target="http://www.floatrates.com/zar/twd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pgk/" TargetMode="External"/><Relationship Id="rId393" Type="http://schemas.openxmlformats.org/officeDocument/2006/relationships/hyperlink" Target="http://www.floatrates.com/zar/tnd/" TargetMode="External"/><Relationship Id="rId407" Type="http://schemas.openxmlformats.org/officeDocument/2006/relationships/hyperlink" Target="http://www.floatrates.com/zar/kes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gn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tzs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bzd/" TargetMode="External"/><Relationship Id="rId418" Type="http://schemas.openxmlformats.org/officeDocument/2006/relationships/hyperlink" Target="http://www.floatrates.com/zar/isk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lkr/" TargetMode="External"/><Relationship Id="rId373" Type="http://schemas.openxmlformats.org/officeDocument/2006/relationships/hyperlink" Target="http://www.floatrates.com/zar/lsl/" TargetMode="External"/><Relationship Id="rId429" Type="http://schemas.openxmlformats.org/officeDocument/2006/relationships/hyperlink" Target="http://www.floatrates.com/zar/php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mkd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egp/" TargetMode="External"/><Relationship Id="rId384" Type="http://schemas.openxmlformats.org/officeDocument/2006/relationships/hyperlink" Target="http://www.floatrates.com/zar/xaf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customProperty" Target="../customProperty8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T8"/>
  <sheetViews>
    <sheetView showGridLines="0" zoomScaleNormal="100" zoomScaleSheetLayoutView="80" workbookViewId="0">
      <selection activeCell="AK3" sqref="AK3:AK4"/>
    </sheetView>
  </sheetViews>
  <sheetFormatPr defaultRowHeight="12.5" customHeight="1" x14ac:dyDescent="0.35"/>
  <cols>
    <col min="1" max="1" width="1.36328125" style="167" customWidth="1"/>
    <col min="2" max="4" width="1.81640625" style="166" customWidth="1"/>
    <col min="5" max="5" width="1.81640625" style="166" bestFit="1" customWidth="1"/>
    <col min="6" max="6" width="1.81640625" style="166" customWidth="1"/>
    <col min="7" max="57" width="2.6328125" style="166" customWidth="1"/>
    <col min="58" max="16384" width="8.7265625" style="166"/>
  </cols>
  <sheetData>
    <row r="1" spans="2:46" ht="12.75" customHeight="1" x14ac:dyDescent="0.35">
      <c r="B1" s="166" t="s">
        <v>1386</v>
      </c>
      <c r="G1" s="187" t="s">
        <v>1387</v>
      </c>
      <c r="H1" s="187"/>
      <c r="I1" s="187"/>
      <c r="J1" s="190" t="s">
        <v>246</v>
      </c>
      <c r="K1" s="190"/>
      <c r="L1" s="190"/>
      <c r="M1" s="190"/>
      <c r="N1" s="190"/>
      <c r="O1" s="190"/>
      <c r="P1" s="190"/>
      <c r="Q1" s="190"/>
      <c r="R1" s="180"/>
      <c r="S1" s="180"/>
      <c r="T1" s="174" t="s">
        <v>1388</v>
      </c>
      <c r="U1" s="174"/>
      <c r="V1" s="174"/>
      <c r="W1" s="181" t="str">
        <f>VLOOKUP(J1,Countries!$C$2:$L$59,10,0)</f>
        <v>ZAR</v>
      </c>
      <c r="X1" s="180"/>
      <c r="Y1" s="180"/>
      <c r="Z1" s="180"/>
      <c r="AA1" s="180"/>
      <c r="AB1" s="180"/>
      <c r="AC1" s="180"/>
      <c r="AD1" s="180"/>
      <c r="AE1" s="180"/>
      <c r="AF1" s="174"/>
      <c r="AG1" s="182" t="str">
        <f>IF(W1="ZAR","","Exchange Rate:")</f>
        <v/>
      </c>
      <c r="AH1" s="174"/>
      <c r="AI1" s="183"/>
      <c r="AJ1" s="174"/>
      <c r="AK1" s="181" t="str">
        <f>IFERROR("1 ZAR = " &amp;  ROUNDUP(VLOOKUP(VLOOKUP(J1,Countries!$C$2:$L$59,10,0),'Exchange Rate'!O2:Q170,3,0),3) &amp;" " &amp; VLOOKUP(J1,Countries!$C$2:$L$59,10,0),"")</f>
        <v/>
      </c>
      <c r="AL1" s="182"/>
      <c r="AM1" s="174"/>
      <c r="AN1" s="174"/>
      <c r="AO1" s="174"/>
      <c r="AP1" s="174"/>
      <c r="AQ1" s="174"/>
      <c r="AR1" s="174"/>
      <c r="AS1" s="174"/>
    </row>
    <row r="2" spans="2:46" ht="12.75" customHeight="1" x14ac:dyDescent="0.35">
      <c r="G2" s="180"/>
      <c r="H2" s="188" t="s">
        <v>1363</v>
      </c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62"/>
      <c r="U2" s="188" t="s">
        <v>1364</v>
      </c>
      <c r="V2" s="188"/>
      <c r="W2" s="188"/>
      <c r="X2" s="188"/>
      <c r="Y2" s="188"/>
      <c r="Z2" s="188"/>
      <c r="AA2" s="188"/>
      <c r="AB2" s="188"/>
      <c r="AC2" s="188"/>
      <c r="AD2" s="188"/>
      <c r="AE2" s="188"/>
      <c r="AF2" s="188"/>
      <c r="AG2" s="162"/>
      <c r="AH2" s="188" t="s">
        <v>1382</v>
      </c>
      <c r="AI2" s="188"/>
      <c r="AJ2" s="188"/>
      <c r="AK2" s="188"/>
      <c r="AL2" s="188"/>
      <c r="AM2" s="188"/>
      <c r="AN2" s="188"/>
      <c r="AO2" s="188"/>
      <c r="AP2" s="188"/>
      <c r="AQ2" s="188"/>
      <c r="AR2" s="188"/>
      <c r="AS2" s="188"/>
    </row>
    <row r="3" spans="2:46" ht="12.75" customHeight="1" x14ac:dyDescent="0.35">
      <c r="G3" s="173"/>
      <c r="H3" s="191"/>
      <c r="I3" s="191"/>
      <c r="J3" s="191"/>
      <c r="K3" s="172"/>
      <c r="L3" s="189"/>
      <c r="M3" s="189"/>
      <c r="N3" s="189"/>
      <c r="O3" s="189"/>
      <c r="P3" s="189"/>
      <c r="Q3" s="189"/>
      <c r="R3" s="189"/>
      <c r="S3" s="189"/>
      <c r="T3" s="173"/>
      <c r="U3" s="191"/>
      <c r="V3" s="191"/>
      <c r="W3" s="191"/>
      <c r="X3" s="186"/>
      <c r="Y3" s="189"/>
      <c r="Z3" s="189"/>
      <c r="AA3" s="189"/>
      <c r="AB3" s="189"/>
      <c r="AC3" s="189"/>
      <c r="AD3" s="189"/>
      <c r="AE3" s="189"/>
      <c r="AF3" s="189"/>
      <c r="AG3" s="173"/>
      <c r="AH3" s="191"/>
      <c r="AI3" s="191"/>
      <c r="AJ3" s="191"/>
      <c r="AK3" s="186"/>
      <c r="AL3" s="189"/>
      <c r="AM3" s="189"/>
      <c r="AN3" s="189"/>
      <c r="AO3" s="189"/>
      <c r="AP3" s="189"/>
      <c r="AQ3" s="189"/>
      <c r="AR3" s="189"/>
      <c r="AS3" s="189"/>
      <c r="AT3" s="164"/>
    </row>
    <row r="4" spans="2:46" ht="12.75" customHeight="1" x14ac:dyDescent="0.35">
      <c r="G4" s="173"/>
      <c r="H4" s="191"/>
      <c r="I4" s="191"/>
      <c r="J4" s="191"/>
      <c r="K4" s="172"/>
      <c r="L4" s="189"/>
      <c r="M4" s="189"/>
      <c r="N4" s="189"/>
      <c r="O4" s="189"/>
      <c r="P4" s="189"/>
      <c r="Q4" s="189"/>
      <c r="R4" s="189"/>
      <c r="S4" s="189"/>
      <c r="T4" s="173"/>
      <c r="U4" s="191"/>
      <c r="V4" s="191"/>
      <c r="W4" s="191"/>
      <c r="X4" s="186"/>
      <c r="Y4" s="189"/>
      <c r="Z4" s="189"/>
      <c r="AA4" s="189"/>
      <c r="AB4" s="189"/>
      <c r="AC4" s="189"/>
      <c r="AD4" s="189"/>
      <c r="AE4" s="189"/>
      <c r="AF4" s="189"/>
      <c r="AG4" s="173"/>
      <c r="AH4" s="191"/>
      <c r="AI4" s="191"/>
      <c r="AJ4" s="191"/>
      <c r="AK4" s="186"/>
      <c r="AL4" s="189"/>
      <c r="AM4" s="189"/>
      <c r="AN4" s="189"/>
      <c r="AO4" s="189"/>
      <c r="AP4" s="189"/>
      <c r="AQ4" s="189"/>
      <c r="AR4" s="189"/>
      <c r="AS4" s="189"/>
      <c r="AT4" s="164"/>
    </row>
    <row r="5" spans="2:46" ht="12.75" customHeight="1" thickBot="1" x14ac:dyDescent="0.4">
      <c r="D5" s="178">
        <f>L5+Y5+AL5</f>
        <v>0</v>
      </c>
      <c r="G5" s="173"/>
      <c r="H5" s="193" t="s">
        <v>1383</v>
      </c>
      <c r="I5" s="193"/>
      <c r="J5" s="193"/>
      <c r="K5" s="193"/>
      <c r="L5" s="192">
        <f>SUM(L3:S4)</f>
        <v>0</v>
      </c>
      <c r="M5" s="192"/>
      <c r="N5" s="192"/>
      <c r="O5" s="192"/>
      <c r="P5" s="192"/>
      <c r="Q5" s="192"/>
      <c r="R5" s="192"/>
      <c r="S5" s="192"/>
      <c r="T5" s="173"/>
      <c r="U5" s="193" t="s">
        <v>1383</v>
      </c>
      <c r="V5" s="193"/>
      <c r="W5" s="193"/>
      <c r="X5" s="193"/>
      <c r="Y5" s="192">
        <f>SUM(Y3:AF4)</f>
        <v>0</v>
      </c>
      <c r="Z5" s="192"/>
      <c r="AA5" s="192"/>
      <c r="AB5" s="192"/>
      <c r="AC5" s="192"/>
      <c r="AD5" s="192"/>
      <c r="AE5" s="192"/>
      <c r="AF5" s="192"/>
      <c r="AG5" s="173"/>
      <c r="AH5" s="193" t="s">
        <v>1383</v>
      </c>
      <c r="AI5" s="193"/>
      <c r="AJ5" s="193"/>
      <c r="AK5" s="193"/>
      <c r="AL5" s="192">
        <f>SUM(AL3:AS4)</f>
        <v>0</v>
      </c>
      <c r="AM5" s="192"/>
      <c r="AN5" s="192"/>
      <c r="AO5" s="192"/>
      <c r="AP5" s="192"/>
      <c r="AQ5" s="192"/>
      <c r="AR5" s="192"/>
      <c r="AS5" s="192"/>
    </row>
    <row r="6" spans="2:46" ht="12.75" customHeight="1" thickTop="1" x14ac:dyDescent="0.35">
      <c r="G6" s="173"/>
      <c r="H6" s="195"/>
      <c r="I6" s="195"/>
      <c r="J6" s="195"/>
      <c r="K6" s="195"/>
      <c r="L6" s="196"/>
      <c r="M6" s="196"/>
      <c r="N6" s="196"/>
      <c r="O6" s="196"/>
      <c r="P6" s="196"/>
      <c r="Q6" s="196"/>
      <c r="R6" s="196"/>
      <c r="S6" s="196"/>
      <c r="T6" s="173"/>
      <c r="U6" s="197"/>
      <c r="V6" s="197"/>
      <c r="W6" s="197"/>
      <c r="X6" s="197"/>
      <c r="Y6" s="196"/>
      <c r="Z6" s="196"/>
      <c r="AA6" s="196"/>
      <c r="AB6" s="196"/>
      <c r="AC6" s="196"/>
      <c r="AD6" s="196"/>
      <c r="AE6" s="196"/>
      <c r="AF6" s="196"/>
      <c r="AG6" s="173"/>
      <c r="AH6" s="197"/>
      <c r="AI6" s="197"/>
      <c r="AJ6" s="197"/>
      <c r="AK6" s="197"/>
      <c r="AL6" s="196"/>
      <c r="AM6" s="196"/>
      <c r="AN6" s="196"/>
      <c r="AO6" s="196"/>
      <c r="AP6" s="196"/>
      <c r="AQ6" s="196"/>
      <c r="AR6" s="196"/>
      <c r="AS6" s="196"/>
    </row>
    <row r="7" spans="2:46" ht="11" customHeight="1" x14ac:dyDescent="0.35"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93"/>
      <c r="AQ7" s="193"/>
      <c r="AR7" s="193"/>
      <c r="AS7" s="193"/>
    </row>
    <row r="8" spans="2:46" ht="11" customHeight="1" x14ac:dyDescent="0.35"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4"/>
      <c r="Z8" s="194"/>
      <c r="AA8" s="194"/>
      <c r="AB8" s="194"/>
      <c r="AC8" s="194"/>
      <c r="AD8" s="194"/>
      <c r="AE8" s="194"/>
      <c r="AF8" s="194"/>
      <c r="AG8" s="194"/>
      <c r="AH8" s="194"/>
      <c r="AI8" s="194"/>
      <c r="AJ8" s="194"/>
      <c r="AK8" s="194"/>
      <c r="AL8" s="194"/>
      <c r="AM8" s="194"/>
      <c r="AN8" s="194"/>
      <c r="AO8" s="194"/>
      <c r="AP8" s="194"/>
      <c r="AQ8" s="194"/>
      <c r="AR8" s="194"/>
      <c r="AS8" s="194"/>
    </row>
  </sheetData>
  <mergeCells count="31">
    <mergeCell ref="G7:AS7"/>
    <mergeCell ref="G8:AS8"/>
    <mergeCell ref="H6:K6"/>
    <mergeCell ref="L6:S6"/>
    <mergeCell ref="U6:X6"/>
    <mergeCell ref="Y6:AF6"/>
    <mergeCell ref="AH6:AK6"/>
    <mergeCell ref="AL6:AS6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Countries!$C$2:$C$59</xm:f>
          </x14:formula1>
          <xm:sqref>J1:Q1</xm:sqref>
        </x14:dataValidation>
        <x14:dataValidation type="list" allowBlank="1" showInputMessage="1">
          <x14:formula1>
            <xm:f>Inventory!$C$7:$C$37</xm:f>
          </x14:formula1>
          <xm:sqref>H3:J4 U3:W4 AH3:AJ4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U36"/>
  <sheetViews>
    <sheetView showGridLines="0" tabSelected="1" topLeftCell="A2" zoomScaleNormal="100" zoomScaleSheetLayoutView="100" workbookViewId="0">
      <selection activeCell="L7" sqref="L7:S7"/>
    </sheetView>
  </sheetViews>
  <sheetFormatPr defaultRowHeight="12.5" customHeight="1" x14ac:dyDescent="0.35"/>
  <cols>
    <col min="1" max="1" width="2.81640625" customWidth="1"/>
    <col min="2" max="6" width="1.81640625" hidden="1" customWidth="1"/>
    <col min="7" max="57" width="2.6328125" customWidth="1"/>
  </cols>
  <sheetData>
    <row r="1" spans="1:47" ht="12.75" hidden="1" customHeight="1" x14ac:dyDescent="0.35">
      <c r="A1" s="185"/>
      <c r="B1" s="185">
        <f>COUNTIF(B2:B35,"POINT")</f>
        <v>1</v>
      </c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5"/>
      <c r="AR1" s="185"/>
      <c r="AS1" s="185"/>
      <c r="AT1" s="185"/>
      <c r="AU1" s="185"/>
    </row>
    <row r="2" spans="1:47" ht="51.75" customHeight="1" x14ac:dyDescent="0.35">
      <c r="A2" s="185"/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</row>
    <row r="3" spans="1:47" ht="12.75" customHeight="1" x14ac:dyDescent="0.35">
      <c r="G3" s="176"/>
      <c r="H3" s="176"/>
      <c r="I3" s="176"/>
      <c r="J3" s="176"/>
      <c r="K3" s="176"/>
      <c r="L3" s="176"/>
      <c r="M3" s="176"/>
      <c r="N3" s="176"/>
      <c r="O3" s="112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</row>
    <row r="4" spans="1:47" ht="12.75" customHeight="1" x14ac:dyDescent="0.35">
      <c r="G4" s="176"/>
      <c r="H4" s="176"/>
      <c r="I4" s="176"/>
      <c r="J4" s="176"/>
      <c r="K4" s="176"/>
      <c r="L4" s="176"/>
      <c r="M4" s="176"/>
      <c r="N4" s="176"/>
      <c r="O4" s="112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</row>
    <row r="5" spans="1:47" ht="12.75" customHeight="1" x14ac:dyDescent="0.35"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</row>
    <row r="6" spans="1:47" ht="12.75" customHeight="1" x14ac:dyDescent="0.35">
      <c r="G6" s="187" t="s">
        <v>56</v>
      </c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87"/>
      <c r="AR6" s="187"/>
      <c r="AS6" s="187"/>
    </row>
    <row r="7" spans="1:47" ht="12.75" customHeight="1" x14ac:dyDescent="0.35">
      <c r="C7">
        <v>1</v>
      </c>
      <c r="D7">
        <v>1</v>
      </c>
      <c r="G7" s="176"/>
      <c r="H7" s="193" t="s">
        <v>1365</v>
      </c>
      <c r="I7" s="193"/>
      <c r="J7" s="193"/>
      <c r="K7" s="193"/>
      <c r="L7" s="207"/>
      <c r="M7" s="207"/>
      <c r="N7" s="207"/>
      <c r="O7" s="207"/>
      <c r="P7" s="207"/>
      <c r="Q7" s="207"/>
      <c r="R7" s="207"/>
      <c r="S7" s="207"/>
      <c r="T7" s="161"/>
      <c r="U7" s="193" t="s">
        <v>51</v>
      </c>
      <c r="V7" s="193"/>
      <c r="W7" s="193"/>
      <c r="X7" s="193"/>
      <c r="Y7" s="207" t="str">
        <f>IFERROR(IF(VLOOKUP(C$7,Drivers!$A$5:$B$41,2,0)="","-", VLOOKUP(C$7,Drivers!$A$5:$B$41,2,0)),"-")</f>
        <v>Mack Gwatiringa</v>
      </c>
      <c r="Z7" s="207"/>
      <c r="AA7" s="207"/>
      <c r="AB7" s="207"/>
      <c r="AC7" s="207"/>
      <c r="AD7" s="207"/>
      <c r="AE7" s="207"/>
      <c r="AF7" s="207"/>
      <c r="AG7" s="161"/>
      <c r="AH7" s="193" t="s">
        <v>1360</v>
      </c>
      <c r="AI7" s="193"/>
      <c r="AJ7" s="193"/>
      <c r="AK7" s="193"/>
      <c r="AL7" s="209" t="str">
        <f>IFERROR(IF(VLOOKUP($D$7,Horses!$A$6:$C$42,3,0)="","-",VLOOKUP($D$7,Horses!$A$6:$C$42,3,0)),"-")</f>
        <v>BG13ZTGP</v>
      </c>
      <c r="AM7" s="209"/>
      <c r="AN7" s="209"/>
      <c r="AO7" s="209"/>
      <c r="AP7" s="209"/>
      <c r="AQ7" s="209"/>
      <c r="AR7" s="209"/>
      <c r="AS7" s="209"/>
    </row>
    <row r="8" spans="1:47" ht="12.75" customHeight="1" x14ac:dyDescent="0.35">
      <c r="C8">
        <v>14</v>
      </c>
      <c r="G8" s="176"/>
      <c r="H8" s="193" t="s">
        <v>1356</v>
      </c>
      <c r="I8" s="193"/>
      <c r="J8" s="193"/>
      <c r="K8" s="193"/>
      <c r="L8" s="208">
        <v>43179</v>
      </c>
      <c r="M8" s="208"/>
      <c r="N8" s="208"/>
      <c r="O8" s="208"/>
      <c r="P8" s="208"/>
      <c r="Q8" s="208"/>
      <c r="R8" s="208"/>
      <c r="S8" s="208"/>
      <c r="T8" s="161"/>
      <c r="U8" s="193" t="s">
        <v>1358</v>
      </c>
      <c r="V8" s="193"/>
      <c r="W8" s="193"/>
      <c r="X8" s="193"/>
      <c r="Y8" s="208">
        <v>43192</v>
      </c>
      <c r="Z8" s="208"/>
      <c r="AA8" s="208"/>
      <c r="AB8" s="208"/>
      <c r="AC8" s="208"/>
      <c r="AD8" s="208"/>
      <c r="AE8" s="208"/>
      <c r="AF8" s="208"/>
      <c r="AG8" s="161"/>
      <c r="AH8" s="193" t="s">
        <v>1361</v>
      </c>
      <c r="AI8" s="193"/>
      <c r="AJ8" s="193"/>
      <c r="AK8" s="193"/>
      <c r="AL8" s="207" t="str">
        <f>IFERROR(IF(VLOOKUP($C$8,Trailers!$A$7:$C$43,3,0)="","-",VLOOKUP($C$8,Trailers!$A$7:$C$43,3,0)),"-")</f>
        <v>Trailer 14</v>
      </c>
      <c r="AM8" s="207"/>
      <c r="AN8" s="207"/>
      <c r="AO8" s="207"/>
      <c r="AP8" s="207"/>
      <c r="AQ8" s="207"/>
      <c r="AR8" s="207"/>
      <c r="AS8" s="207"/>
    </row>
    <row r="9" spans="1:47" ht="12.75" customHeight="1" x14ac:dyDescent="0.35">
      <c r="C9">
        <v>7</v>
      </c>
      <c r="G9" s="176"/>
      <c r="H9" s="193" t="s">
        <v>1357</v>
      </c>
      <c r="I9" s="193"/>
      <c r="J9" s="193"/>
      <c r="K9" s="193"/>
      <c r="L9" s="207"/>
      <c r="M9" s="207"/>
      <c r="N9" s="207"/>
      <c r="O9" s="207"/>
      <c r="P9" s="207"/>
      <c r="Q9" s="207"/>
      <c r="R9" s="207"/>
      <c r="S9" s="207"/>
      <c r="T9" s="161"/>
      <c r="U9" s="193" t="s">
        <v>1359</v>
      </c>
      <c r="V9" s="193"/>
      <c r="W9" s="193"/>
      <c r="X9" s="193"/>
      <c r="Y9" s="207"/>
      <c r="Z9" s="207"/>
      <c r="AA9" s="207"/>
      <c r="AB9" s="207"/>
      <c r="AC9" s="207"/>
      <c r="AD9" s="207"/>
      <c r="AE9" s="207"/>
      <c r="AF9" s="207"/>
      <c r="AG9" s="161"/>
      <c r="AH9" s="193" t="s">
        <v>1362</v>
      </c>
      <c r="AI9" s="193"/>
      <c r="AJ9" s="193"/>
      <c r="AK9" s="193"/>
      <c r="AL9" s="207" t="str">
        <f>IFERROR(IF(VLOOKUP($C$9,Trailers!$A$7:$C$43,3,0)="","-",VLOOKUP($C$9,Trailers!$A$7:$C$43,3,0)),"-")</f>
        <v>Trailer 7</v>
      </c>
      <c r="AM9" s="207"/>
      <c r="AN9" s="207"/>
      <c r="AO9" s="207"/>
      <c r="AP9" s="207"/>
      <c r="AQ9" s="207"/>
      <c r="AR9" s="207"/>
      <c r="AS9" s="207"/>
    </row>
    <row r="10" spans="1:47" s="167" customFormat="1" ht="12.75" customHeight="1" x14ac:dyDescent="0.35">
      <c r="G10" s="176"/>
      <c r="H10" s="173"/>
      <c r="I10" s="173"/>
      <c r="J10" s="173"/>
      <c r="K10" s="173"/>
      <c r="L10" s="175"/>
      <c r="M10" s="175"/>
      <c r="N10" s="175"/>
      <c r="O10" s="175"/>
      <c r="P10" s="175"/>
      <c r="Q10" s="175"/>
      <c r="R10" s="175"/>
      <c r="S10" s="175"/>
      <c r="T10" s="161"/>
      <c r="U10" s="173"/>
      <c r="V10" s="173"/>
      <c r="W10" s="173"/>
      <c r="X10" s="173"/>
      <c r="Y10" s="175"/>
      <c r="Z10" s="175"/>
      <c r="AA10" s="175"/>
      <c r="AB10" s="175"/>
      <c r="AC10" s="175"/>
      <c r="AD10" s="175"/>
      <c r="AE10" s="175"/>
      <c r="AF10" s="175"/>
      <c r="AG10" s="161"/>
      <c r="AH10" s="173"/>
      <c r="AI10" s="173"/>
      <c r="AJ10" s="173"/>
      <c r="AK10" s="173"/>
      <c r="AL10" s="175"/>
      <c r="AM10" s="175"/>
      <c r="AN10" s="175"/>
      <c r="AO10" s="175"/>
      <c r="AP10" s="175"/>
      <c r="AQ10" s="175"/>
      <c r="AR10" s="175"/>
      <c r="AS10" s="175"/>
    </row>
    <row r="11" spans="1:47" ht="12.75" customHeight="1" x14ac:dyDescent="0.35"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6"/>
      <c r="AC11" s="176"/>
      <c r="AD11" s="176"/>
      <c r="AE11" s="176"/>
      <c r="AF11" s="176"/>
      <c r="AG11" s="176"/>
      <c r="AH11" s="176"/>
      <c r="AI11" s="176"/>
      <c r="AJ11" s="176"/>
      <c r="AK11" s="176"/>
      <c r="AL11" s="176"/>
      <c r="AM11" s="176"/>
      <c r="AN11" s="176"/>
      <c r="AO11" s="176"/>
      <c r="AP11" s="176"/>
      <c r="AQ11" s="176"/>
      <c r="AR11" s="176"/>
      <c r="AS11" s="176"/>
    </row>
    <row r="12" spans="1:47" ht="12.75" customHeight="1" x14ac:dyDescent="0.35">
      <c r="B12" t="s">
        <v>1386</v>
      </c>
      <c r="G12" s="187" t="s">
        <v>1387</v>
      </c>
      <c r="H12" s="187"/>
      <c r="I12" s="187"/>
      <c r="J12" s="190" t="s">
        <v>237</v>
      </c>
      <c r="K12" s="190"/>
      <c r="L12" s="190"/>
      <c r="M12" s="190"/>
      <c r="N12" s="190"/>
      <c r="O12" s="190"/>
      <c r="P12" s="190"/>
      <c r="Q12" s="190"/>
      <c r="R12" s="180"/>
      <c r="S12" s="180"/>
      <c r="T12" s="174" t="s">
        <v>1388</v>
      </c>
      <c r="U12" s="174"/>
      <c r="V12" s="174"/>
      <c r="W12" s="181" t="str">
        <f>VLOOKUP(J12,Countries!$C$2:$L$59,10,0)</f>
        <v>SSP</v>
      </c>
      <c r="X12" s="180"/>
      <c r="Y12" s="180"/>
      <c r="Z12" s="180"/>
      <c r="AA12" s="180"/>
      <c r="AB12" s="180"/>
      <c r="AC12" s="180"/>
      <c r="AD12" s="180"/>
      <c r="AE12" s="180"/>
      <c r="AF12" s="174"/>
      <c r="AG12" s="182" t="str">
        <f>IF(W12="ZAR","","Exchange Rate:")</f>
        <v>Exchange Rate:</v>
      </c>
      <c r="AH12" s="174"/>
      <c r="AI12" s="183"/>
      <c r="AJ12" s="174"/>
      <c r="AK12" s="181" t="str">
        <f>IFERROR("1 ZAR = " &amp;  ROUNDUP(VLOOKUP(VLOOKUP(J12,Countries!$C$2:$L$59,10,0),'Exchange Rate'!O12:Q180,3,0),3) &amp;" " &amp; VLOOKUP(J12,Countries!$C$2:$L$59,10,0),"")</f>
        <v>1 ZAR = 11.209 SSP</v>
      </c>
      <c r="AL12" s="182"/>
      <c r="AM12" s="174"/>
      <c r="AN12" s="174"/>
      <c r="AO12" s="174"/>
      <c r="AP12" s="174"/>
      <c r="AQ12" s="174"/>
      <c r="AR12" s="174"/>
      <c r="AS12" s="174"/>
    </row>
    <row r="13" spans="1:47" ht="12.75" customHeight="1" x14ac:dyDescent="0.35">
      <c r="G13" s="180"/>
      <c r="H13" s="188" t="s">
        <v>1363</v>
      </c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62"/>
      <c r="U13" s="188" t="s">
        <v>1364</v>
      </c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62"/>
      <c r="AH13" s="188" t="s">
        <v>1382</v>
      </c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</row>
    <row r="14" spans="1:47" s="163" customFormat="1" ht="12.75" customHeight="1" x14ac:dyDescent="0.35">
      <c r="C14" s="163">
        <v>1</v>
      </c>
      <c r="G14" s="173"/>
      <c r="H14" s="191"/>
      <c r="I14" s="191"/>
      <c r="J14" s="191"/>
      <c r="K14" s="186"/>
      <c r="L14" s="189"/>
      <c r="M14" s="189"/>
      <c r="N14" s="189"/>
      <c r="O14" s="189"/>
      <c r="P14" s="189"/>
      <c r="Q14" s="189"/>
      <c r="R14" s="189"/>
      <c r="S14" s="189"/>
      <c r="T14" s="173"/>
      <c r="U14" s="191"/>
      <c r="V14" s="191"/>
      <c r="W14" s="191"/>
      <c r="X14" s="186"/>
      <c r="Y14" s="189"/>
      <c r="Z14" s="189"/>
      <c r="AA14" s="189"/>
      <c r="AB14" s="189"/>
      <c r="AC14" s="189"/>
      <c r="AD14" s="189"/>
      <c r="AE14" s="189"/>
      <c r="AF14" s="189"/>
      <c r="AG14" s="173"/>
      <c r="AH14" s="191"/>
      <c r="AI14" s="191"/>
      <c r="AJ14" s="191"/>
      <c r="AK14" s="186"/>
      <c r="AL14" s="189"/>
      <c r="AM14" s="189"/>
      <c r="AN14" s="189"/>
      <c r="AO14" s="189"/>
      <c r="AP14" s="189"/>
      <c r="AQ14" s="189"/>
      <c r="AR14" s="189"/>
      <c r="AS14" s="189"/>
      <c r="AT14" s="164"/>
    </row>
    <row r="15" spans="1:47" s="165" customFormat="1" ht="12.75" customHeight="1" x14ac:dyDescent="0.35">
      <c r="C15" s="165">
        <v>2</v>
      </c>
      <c r="G15" s="173"/>
      <c r="H15" s="191"/>
      <c r="I15" s="191"/>
      <c r="J15" s="191"/>
      <c r="K15" s="186"/>
      <c r="L15" s="189"/>
      <c r="M15" s="189"/>
      <c r="N15" s="189"/>
      <c r="O15" s="189"/>
      <c r="P15" s="189"/>
      <c r="Q15" s="189"/>
      <c r="R15" s="189"/>
      <c r="S15" s="189"/>
      <c r="T15" s="173"/>
      <c r="U15" s="191"/>
      <c r="V15" s="191"/>
      <c r="W15" s="191"/>
      <c r="X15" s="186"/>
      <c r="Y15" s="189"/>
      <c r="Z15" s="189"/>
      <c r="AA15" s="189"/>
      <c r="AB15" s="189"/>
      <c r="AC15" s="189"/>
      <c r="AD15" s="189"/>
      <c r="AE15" s="189"/>
      <c r="AF15" s="189"/>
      <c r="AG15" s="173"/>
      <c r="AH15" s="191"/>
      <c r="AI15" s="191"/>
      <c r="AJ15" s="191"/>
      <c r="AK15" s="186"/>
      <c r="AL15" s="189"/>
      <c r="AM15" s="189"/>
      <c r="AN15" s="189"/>
      <c r="AO15" s="189"/>
      <c r="AP15" s="189"/>
      <c r="AQ15" s="189"/>
      <c r="AR15" s="189"/>
      <c r="AS15" s="189"/>
      <c r="AT15" s="164" t="s">
        <v>1384</v>
      </c>
      <c r="AU15" s="165" t="s">
        <v>1385</v>
      </c>
    </row>
    <row r="16" spans="1:47" ht="12.75" customHeight="1" thickBot="1" x14ac:dyDescent="0.4">
      <c r="D16" s="177">
        <f>L16+Y16+AL16</f>
        <v>0</v>
      </c>
      <c r="G16" s="173"/>
      <c r="H16" s="199" t="s">
        <v>1383</v>
      </c>
      <c r="I16" s="199"/>
      <c r="J16" s="199"/>
      <c r="K16" s="173"/>
      <c r="L16" s="192">
        <f>SUM(L14:S15)</f>
        <v>0</v>
      </c>
      <c r="M16" s="192"/>
      <c r="N16" s="192"/>
      <c r="O16" s="192"/>
      <c r="P16" s="192"/>
      <c r="Q16" s="192"/>
      <c r="R16" s="192"/>
      <c r="S16" s="192"/>
      <c r="T16" s="173"/>
      <c r="U16" s="193" t="s">
        <v>1383</v>
      </c>
      <c r="V16" s="193"/>
      <c r="W16" s="193"/>
      <c r="X16" s="193"/>
      <c r="Y16" s="192">
        <f>SUM(Y14:AF15)</f>
        <v>0</v>
      </c>
      <c r="Z16" s="192"/>
      <c r="AA16" s="192"/>
      <c r="AB16" s="192"/>
      <c r="AC16" s="192"/>
      <c r="AD16" s="192"/>
      <c r="AE16" s="192"/>
      <c r="AF16" s="192"/>
      <c r="AG16" s="173"/>
      <c r="AH16" s="193" t="s">
        <v>1383</v>
      </c>
      <c r="AI16" s="193"/>
      <c r="AJ16" s="193"/>
      <c r="AK16" s="193"/>
      <c r="AL16" s="192">
        <f>SUM(AL14:AS15)</f>
        <v>0</v>
      </c>
      <c r="AM16" s="192"/>
      <c r="AN16" s="192"/>
      <c r="AO16" s="192"/>
      <c r="AP16" s="192"/>
      <c r="AQ16" s="192"/>
      <c r="AR16" s="192"/>
      <c r="AS16" s="192"/>
    </row>
    <row r="17" spans="1:47" s="163" customFormat="1" ht="12.75" customHeight="1" thickTop="1" x14ac:dyDescent="0.35">
      <c r="D17" s="171">
        <f>L17+Y17+AL17</f>
        <v>0</v>
      </c>
      <c r="G17" s="173"/>
      <c r="H17" s="195"/>
      <c r="I17" s="195"/>
      <c r="J17" s="195"/>
      <c r="K17" s="195"/>
      <c r="L17" s="196"/>
      <c r="M17" s="196"/>
      <c r="N17" s="196"/>
      <c r="O17" s="196"/>
      <c r="P17" s="196"/>
      <c r="Q17" s="196"/>
      <c r="R17" s="196"/>
      <c r="S17" s="196"/>
      <c r="T17" s="173"/>
      <c r="U17" s="197"/>
      <c r="V17" s="197"/>
      <c r="W17" s="197"/>
      <c r="X17" s="197"/>
      <c r="Y17" s="196"/>
      <c r="Z17" s="196"/>
      <c r="AA17" s="196"/>
      <c r="AB17" s="196"/>
      <c r="AC17" s="196"/>
      <c r="AD17" s="196"/>
      <c r="AE17" s="196"/>
      <c r="AF17" s="196"/>
      <c r="AG17" s="173"/>
      <c r="AH17" s="197"/>
      <c r="AI17" s="197"/>
      <c r="AJ17" s="197"/>
      <c r="AK17" s="197"/>
      <c r="AL17" s="196"/>
      <c r="AM17" s="196"/>
      <c r="AN17" s="196"/>
      <c r="AO17" s="196"/>
      <c r="AP17" s="196"/>
      <c r="AQ17" s="196"/>
      <c r="AR17" s="196"/>
      <c r="AS17" s="196"/>
    </row>
    <row r="18" spans="1:47" ht="11" customHeight="1" x14ac:dyDescent="0.35"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93"/>
      <c r="X18" s="193"/>
      <c r="Y18" s="193"/>
      <c r="Z18" s="193"/>
      <c r="AA18" s="193"/>
      <c r="AB18" s="193"/>
      <c r="AC18" s="193"/>
      <c r="AD18" s="193"/>
      <c r="AE18" s="193"/>
      <c r="AF18" s="193"/>
      <c r="AG18" s="193"/>
      <c r="AH18" s="193"/>
      <c r="AI18" s="193"/>
      <c r="AJ18" s="193"/>
      <c r="AK18" s="193"/>
      <c r="AL18" s="193"/>
      <c r="AM18" s="193"/>
      <c r="AN18" s="193"/>
      <c r="AO18" s="193"/>
      <c r="AP18" s="193"/>
      <c r="AQ18" s="193"/>
      <c r="AR18" s="193"/>
      <c r="AS18" s="193"/>
    </row>
    <row r="19" spans="1:47" s="163" customFormat="1" ht="11" customHeight="1" x14ac:dyDescent="0.75">
      <c r="G19" s="210"/>
      <c r="H19" s="210"/>
      <c r="I19" s="210"/>
      <c r="J19" s="210"/>
      <c r="K19" s="210"/>
      <c r="L19" s="210"/>
      <c r="M19" s="210"/>
      <c r="N19" s="210"/>
      <c r="O19" s="210"/>
      <c r="P19" s="210"/>
      <c r="Q19" s="210"/>
      <c r="R19" s="210"/>
      <c r="S19" s="210"/>
      <c r="T19" s="210"/>
      <c r="U19" s="210"/>
      <c r="V19" s="210"/>
      <c r="W19" s="210"/>
      <c r="X19" s="210"/>
      <c r="Y19" s="210"/>
      <c r="Z19" s="210"/>
      <c r="AA19" s="210"/>
      <c r="AB19" s="210"/>
      <c r="AC19" s="210"/>
      <c r="AD19" s="210"/>
      <c r="AE19" s="210"/>
      <c r="AF19" s="210"/>
      <c r="AG19" s="210"/>
      <c r="AH19" s="210"/>
      <c r="AI19" s="210"/>
      <c r="AJ19" s="210"/>
      <c r="AK19" s="210"/>
      <c r="AL19" s="210"/>
      <c r="AM19" s="210"/>
      <c r="AN19" s="210"/>
      <c r="AO19" s="210"/>
      <c r="AP19" s="210"/>
      <c r="AQ19" s="210"/>
      <c r="AR19" s="210"/>
      <c r="AS19" s="210"/>
    </row>
    <row r="20" spans="1:47" ht="12.5" customHeight="1" x14ac:dyDescent="0.35">
      <c r="G20" s="187" t="s">
        <v>92</v>
      </c>
      <c r="H20" s="187"/>
      <c r="I20" s="187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</row>
    <row r="21" spans="1:47" ht="12.5" customHeight="1" x14ac:dyDescent="0.55000000000000004">
      <c r="G21" s="179"/>
      <c r="H21" s="191"/>
      <c r="I21" s="191"/>
      <c r="J21" s="191"/>
      <c r="K21" s="186"/>
      <c r="L21" s="189"/>
      <c r="M21" s="189"/>
      <c r="N21" s="189"/>
      <c r="O21" s="189"/>
      <c r="P21" s="189"/>
      <c r="Q21" s="189"/>
      <c r="R21" s="189"/>
      <c r="S21" s="189"/>
      <c r="T21" s="173"/>
      <c r="U21" s="191"/>
      <c r="V21" s="191"/>
      <c r="W21" s="191"/>
      <c r="X21" s="186"/>
      <c r="Y21" s="189"/>
      <c r="Z21" s="189"/>
      <c r="AA21" s="189"/>
      <c r="AB21" s="189"/>
      <c r="AC21" s="189"/>
      <c r="AD21" s="189"/>
      <c r="AE21" s="189"/>
      <c r="AF21" s="189"/>
      <c r="AG21" s="173"/>
      <c r="AH21" s="191"/>
      <c r="AI21" s="191"/>
      <c r="AJ21" s="191"/>
      <c r="AK21" s="186"/>
      <c r="AL21" s="189"/>
      <c r="AM21" s="189"/>
      <c r="AN21" s="189"/>
      <c r="AO21" s="189"/>
      <c r="AP21" s="189"/>
      <c r="AQ21" s="189"/>
      <c r="AR21" s="189"/>
      <c r="AS21" s="189"/>
    </row>
    <row r="22" spans="1:47" ht="12.5" customHeight="1" x14ac:dyDescent="0.55000000000000004">
      <c r="G22" s="179"/>
      <c r="H22" s="198"/>
      <c r="I22" s="198"/>
      <c r="J22" s="198"/>
      <c r="K22" s="186"/>
      <c r="L22" s="189"/>
      <c r="M22" s="189"/>
      <c r="N22" s="189"/>
      <c r="O22" s="189"/>
      <c r="P22" s="189"/>
      <c r="Q22" s="189"/>
      <c r="R22" s="189"/>
      <c r="S22" s="189"/>
      <c r="T22" s="173"/>
      <c r="U22" s="198"/>
      <c r="V22" s="198"/>
      <c r="W22" s="198"/>
      <c r="X22" s="186"/>
      <c r="Y22" s="189"/>
      <c r="Z22" s="189"/>
      <c r="AA22" s="189"/>
      <c r="AB22" s="189"/>
      <c r="AC22" s="189"/>
      <c r="AD22" s="189"/>
      <c r="AE22" s="189"/>
      <c r="AF22" s="189"/>
      <c r="AG22" s="173"/>
      <c r="AH22" s="198"/>
      <c r="AI22" s="198"/>
      <c r="AJ22" s="198"/>
      <c r="AK22" s="186"/>
      <c r="AL22" s="189"/>
      <c r="AM22" s="189"/>
      <c r="AN22" s="189"/>
      <c r="AO22" s="189"/>
      <c r="AP22" s="189"/>
      <c r="AQ22" s="189"/>
      <c r="AR22" s="189"/>
      <c r="AS22" s="189"/>
    </row>
    <row r="23" spans="1:47" ht="12.5" customHeight="1" x14ac:dyDescent="0.55000000000000004">
      <c r="G23" s="179"/>
      <c r="H23" s="191"/>
      <c r="I23" s="191"/>
      <c r="J23" s="191"/>
      <c r="K23" s="186"/>
      <c r="L23" s="189"/>
      <c r="M23" s="189"/>
      <c r="N23" s="189"/>
      <c r="O23" s="189"/>
      <c r="P23" s="189"/>
      <c r="Q23" s="189"/>
      <c r="R23" s="189"/>
      <c r="S23" s="189"/>
      <c r="T23" s="173"/>
      <c r="U23" s="191"/>
      <c r="V23" s="191"/>
      <c r="W23" s="191"/>
      <c r="X23" s="186"/>
      <c r="Y23" s="189"/>
      <c r="Z23" s="189"/>
      <c r="AA23" s="189"/>
      <c r="AB23" s="189"/>
      <c r="AC23" s="189"/>
      <c r="AD23" s="189"/>
      <c r="AE23" s="189"/>
      <c r="AF23" s="189"/>
      <c r="AG23" s="173"/>
      <c r="AH23" s="191"/>
      <c r="AI23" s="191"/>
      <c r="AJ23" s="191"/>
      <c r="AK23" s="186"/>
      <c r="AL23" s="189"/>
      <c r="AM23" s="189"/>
      <c r="AN23" s="189"/>
      <c r="AO23" s="189"/>
      <c r="AP23" s="189"/>
      <c r="AQ23" s="189"/>
      <c r="AR23" s="189"/>
      <c r="AS23" s="189"/>
    </row>
    <row r="24" spans="1:47" ht="12.5" customHeight="1" x14ac:dyDescent="0.55000000000000004">
      <c r="G24" s="179"/>
      <c r="H24" s="198"/>
      <c r="I24" s="198"/>
      <c r="J24" s="198"/>
      <c r="K24" s="186"/>
      <c r="L24" s="189"/>
      <c r="M24" s="189"/>
      <c r="N24" s="189"/>
      <c r="O24" s="189"/>
      <c r="P24" s="189"/>
      <c r="Q24" s="189"/>
      <c r="R24" s="189"/>
      <c r="S24" s="189"/>
      <c r="T24" s="173"/>
      <c r="U24" s="198"/>
      <c r="V24" s="198"/>
      <c r="W24" s="198"/>
      <c r="X24" s="186"/>
      <c r="Y24" s="189"/>
      <c r="Z24" s="189"/>
      <c r="AA24" s="189"/>
      <c r="AB24" s="189"/>
      <c r="AC24" s="189"/>
      <c r="AD24" s="189"/>
      <c r="AE24" s="189"/>
      <c r="AF24" s="189"/>
      <c r="AG24" s="173"/>
      <c r="AH24" s="198"/>
      <c r="AI24" s="198"/>
      <c r="AJ24" s="198"/>
      <c r="AK24" s="186"/>
      <c r="AL24" s="189"/>
      <c r="AM24" s="189"/>
      <c r="AN24" s="189"/>
      <c r="AO24" s="189"/>
      <c r="AP24" s="189"/>
      <c r="AQ24" s="189"/>
      <c r="AR24" s="189"/>
      <c r="AS24" s="189"/>
    </row>
    <row r="25" spans="1:47" ht="12.5" customHeight="1" thickBot="1" x14ac:dyDescent="0.6">
      <c r="G25" s="179"/>
      <c r="H25" s="206"/>
      <c r="I25" s="206"/>
      <c r="J25" s="206"/>
      <c r="K25" s="206"/>
      <c r="L25" s="205"/>
      <c r="M25" s="205"/>
      <c r="N25" s="205"/>
      <c r="O25" s="205"/>
      <c r="P25" s="205"/>
      <c r="Q25" s="205"/>
      <c r="R25" s="205"/>
      <c r="S25" s="205"/>
      <c r="T25" s="173"/>
      <c r="U25" s="206"/>
      <c r="V25" s="206"/>
      <c r="W25" s="206"/>
      <c r="X25" s="206"/>
      <c r="Y25" s="205"/>
      <c r="Z25" s="205"/>
      <c r="AA25" s="205"/>
      <c r="AB25" s="205"/>
      <c r="AC25" s="205"/>
      <c r="AD25" s="205"/>
      <c r="AE25" s="205"/>
      <c r="AF25" s="205"/>
      <c r="AG25" s="173"/>
      <c r="AH25" s="206"/>
      <c r="AI25" s="206"/>
      <c r="AJ25" s="206"/>
      <c r="AK25" s="206"/>
      <c r="AL25" s="205"/>
      <c r="AM25" s="205"/>
      <c r="AN25" s="205"/>
      <c r="AO25" s="205"/>
      <c r="AP25" s="205"/>
      <c r="AQ25" s="205"/>
      <c r="AR25" s="205"/>
      <c r="AS25" s="205"/>
    </row>
    <row r="26" spans="1:47" ht="12.5" customHeight="1" thickTop="1" x14ac:dyDescent="0.55000000000000004">
      <c r="G26" s="179"/>
      <c r="H26" s="193" t="s">
        <v>1383</v>
      </c>
      <c r="I26" s="193"/>
      <c r="J26" s="193"/>
      <c r="K26" s="193"/>
      <c r="L26" s="203">
        <f>SUM(L21:S25)</f>
        <v>0</v>
      </c>
      <c r="M26" s="204"/>
      <c r="N26" s="204"/>
      <c r="O26" s="204"/>
      <c r="P26" s="204"/>
      <c r="Q26" s="204"/>
      <c r="R26" s="204"/>
      <c r="S26" s="204"/>
      <c r="T26" s="179"/>
      <c r="U26" s="193" t="s">
        <v>1383</v>
      </c>
      <c r="V26" s="193"/>
      <c r="W26" s="193"/>
      <c r="X26" s="193"/>
      <c r="Y26" s="203">
        <f>SUM(Y21:AF25)</f>
        <v>0</v>
      </c>
      <c r="Z26" s="204"/>
      <c r="AA26" s="204"/>
      <c r="AB26" s="204"/>
      <c r="AC26" s="204"/>
      <c r="AD26" s="204"/>
      <c r="AE26" s="204"/>
      <c r="AF26" s="204"/>
      <c r="AG26" s="179"/>
      <c r="AH26" s="193" t="s">
        <v>1383</v>
      </c>
      <c r="AI26" s="193"/>
      <c r="AJ26" s="193"/>
      <c r="AK26" s="193"/>
      <c r="AL26" s="203">
        <f>SUM(AL21:AS25)</f>
        <v>0</v>
      </c>
      <c r="AM26" s="204"/>
      <c r="AN26" s="204"/>
      <c r="AO26" s="204"/>
      <c r="AP26" s="204"/>
      <c r="AQ26" s="204"/>
      <c r="AR26" s="204"/>
      <c r="AS26" s="204"/>
    </row>
    <row r="27" spans="1:47" ht="12.5" customHeight="1" x14ac:dyDescent="0.55000000000000004"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</row>
    <row r="28" spans="1:47" ht="12.5" customHeight="1" x14ac:dyDescent="0.55000000000000004">
      <c r="A28" s="167"/>
      <c r="B28" s="167"/>
      <c r="C28" s="167"/>
      <c r="D28" s="167"/>
      <c r="E28" s="167"/>
      <c r="F28" s="167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67"/>
      <c r="AU28" s="167"/>
    </row>
    <row r="29" spans="1:47" ht="12.5" customHeight="1" thickBot="1" x14ac:dyDescent="0.6">
      <c r="G29" s="179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179"/>
      <c r="Z29" s="179"/>
      <c r="AA29" s="179"/>
      <c r="AB29" s="179"/>
      <c r="AC29" s="179"/>
      <c r="AD29" s="179"/>
      <c r="AE29" s="179"/>
      <c r="AF29" s="179"/>
      <c r="AG29" s="179"/>
      <c r="AH29" s="179"/>
      <c r="AI29" s="179"/>
      <c r="AJ29" s="179"/>
      <c r="AK29" s="179"/>
      <c r="AL29" s="179"/>
      <c r="AM29" s="179"/>
      <c r="AN29" s="179"/>
      <c r="AO29" s="179"/>
      <c r="AP29" s="179"/>
      <c r="AQ29" s="179"/>
      <c r="AR29" s="179"/>
      <c r="AS29" s="179"/>
    </row>
    <row r="30" spans="1:47" ht="12.5" customHeight="1" thickTop="1" x14ac:dyDescent="0.55000000000000004"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202" t="s">
        <v>91</v>
      </c>
      <c r="AI30" s="202"/>
      <c r="AJ30" s="202"/>
      <c r="AK30" s="202"/>
      <c r="AL30" s="201">
        <f>SUM($D$12:D29)</f>
        <v>0</v>
      </c>
      <c r="AM30" s="201"/>
      <c r="AN30" s="201"/>
      <c r="AO30" s="201"/>
      <c r="AP30" s="201"/>
      <c r="AQ30" s="201"/>
      <c r="AR30" s="201"/>
      <c r="AS30" s="201"/>
    </row>
    <row r="31" spans="1:47" ht="12.5" customHeight="1" x14ac:dyDescent="0.55000000000000004"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179"/>
      <c r="Z31" s="179"/>
      <c r="AA31" s="179"/>
      <c r="AB31" s="179"/>
      <c r="AC31" s="179"/>
      <c r="AD31" s="179"/>
      <c r="AE31" s="179"/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</row>
    <row r="32" spans="1:47" ht="12.5" customHeight="1" x14ac:dyDescent="0.35">
      <c r="A32" s="167"/>
      <c r="B32" s="167"/>
      <c r="C32" s="167"/>
      <c r="D32" s="167"/>
      <c r="E32" s="167"/>
      <c r="F32" s="167"/>
      <c r="G32" s="176"/>
      <c r="T32" s="176"/>
      <c r="U32" s="176"/>
      <c r="V32" s="176"/>
      <c r="W32" s="176"/>
      <c r="X32" s="176"/>
      <c r="Y32" s="176"/>
      <c r="Z32" s="176"/>
      <c r="AA32" s="176"/>
      <c r="AB32" s="176"/>
      <c r="AC32" s="176"/>
      <c r="AD32" s="176"/>
      <c r="AE32" s="176"/>
      <c r="AF32" s="176"/>
      <c r="AG32" s="176"/>
      <c r="AH32" s="193" t="s">
        <v>1390</v>
      </c>
      <c r="AI32" s="193"/>
      <c r="AJ32" s="193"/>
      <c r="AK32" s="193"/>
      <c r="AL32" s="200"/>
      <c r="AM32" s="200"/>
      <c r="AN32" s="200"/>
      <c r="AO32" s="200"/>
      <c r="AP32" s="200"/>
      <c r="AQ32" s="200"/>
      <c r="AR32" s="200"/>
      <c r="AS32" s="200"/>
      <c r="AT32" s="167"/>
      <c r="AU32" s="167"/>
    </row>
    <row r="33" spans="1:47" ht="12.5" customHeight="1" x14ac:dyDescent="0.35">
      <c r="A33" s="167"/>
      <c r="B33" s="167"/>
      <c r="C33" s="167"/>
      <c r="D33" s="167"/>
      <c r="E33" s="167"/>
      <c r="F33" s="167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76"/>
      <c r="W33" s="176"/>
      <c r="X33" s="176"/>
      <c r="Y33" s="176"/>
      <c r="Z33" s="176"/>
      <c r="AA33" s="176"/>
      <c r="AB33" s="176"/>
      <c r="AC33" s="176"/>
      <c r="AD33" s="176"/>
      <c r="AE33" s="176"/>
      <c r="AF33" s="176"/>
      <c r="AG33" s="176"/>
      <c r="AT33" s="167"/>
      <c r="AU33" s="167"/>
    </row>
    <row r="34" spans="1:47" ht="12.5" customHeight="1" x14ac:dyDescent="0.35">
      <c r="A34" s="167"/>
      <c r="B34" s="167"/>
      <c r="C34" s="167"/>
      <c r="D34" s="167"/>
      <c r="E34" s="167"/>
      <c r="F34" s="167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76"/>
      <c r="AA34" s="176"/>
      <c r="AB34" s="176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  <c r="AN34" s="176"/>
      <c r="AO34" s="176"/>
      <c r="AP34" s="176"/>
      <c r="AQ34" s="176"/>
      <c r="AR34" s="176"/>
      <c r="AS34" s="176"/>
      <c r="AT34" s="167"/>
      <c r="AU34" s="167"/>
    </row>
    <row r="35" spans="1:47" ht="12.5" customHeight="1" x14ac:dyDescent="0.35">
      <c r="A35" s="167"/>
      <c r="B35" s="167"/>
      <c r="C35" s="167"/>
      <c r="D35" s="167"/>
      <c r="E35" s="167"/>
      <c r="F35" s="167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  <c r="AN35" s="176"/>
      <c r="AO35" s="176"/>
      <c r="AP35" s="176"/>
      <c r="AQ35" s="176"/>
      <c r="AR35" s="176"/>
      <c r="AS35" s="176"/>
      <c r="AT35" s="167"/>
      <c r="AU35" s="167"/>
    </row>
    <row r="36" spans="1:47" ht="12.5" customHeight="1" x14ac:dyDescent="0.35">
      <c r="G36" s="176"/>
      <c r="H36" s="193" t="s">
        <v>1391</v>
      </c>
      <c r="I36" s="193"/>
      <c r="J36" s="193"/>
      <c r="K36" s="193"/>
      <c r="L36" s="200"/>
      <c r="M36" s="200"/>
      <c r="N36" s="200"/>
      <c r="O36" s="200"/>
      <c r="P36" s="200"/>
      <c r="Q36" s="200"/>
      <c r="R36" s="200"/>
      <c r="S36" s="200"/>
      <c r="T36" s="176"/>
      <c r="U36" s="176"/>
      <c r="V36" s="176"/>
      <c r="W36" s="176"/>
      <c r="X36" s="176"/>
      <c r="Y36" s="176"/>
      <c r="Z36" s="176"/>
      <c r="AA36" s="176"/>
      <c r="AB36" s="176"/>
      <c r="AC36" s="176"/>
      <c r="AD36" s="176"/>
      <c r="AE36" s="176"/>
      <c r="AF36" s="176"/>
      <c r="AG36" s="176"/>
      <c r="AH36" s="193" t="s">
        <v>1392</v>
      </c>
      <c r="AI36" s="193"/>
      <c r="AJ36" s="193"/>
      <c r="AK36" s="193"/>
      <c r="AL36" s="200"/>
      <c r="AM36" s="200"/>
      <c r="AN36" s="200"/>
      <c r="AO36" s="200"/>
      <c r="AP36" s="200"/>
      <c r="AQ36" s="200"/>
      <c r="AR36" s="200"/>
      <c r="AS36" s="200"/>
    </row>
  </sheetData>
  <mergeCells count="95">
    <mergeCell ref="AL15:AS15"/>
    <mergeCell ref="U26:X26"/>
    <mergeCell ref="Y26:AF26"/>
    <mergeCell ref="AH26:AK26"/>
    <mergeCell ref="AL26:AS26"/>
    <mergeCell ref="AL25:AS25"/>
    <mergeCell ref="AL22:AS22"/>
    <mergeCell ref="AL23:AS23"/>
    <mergeCell ref="AL24:AS24"/>
    <mergeCell ref="AL21:AS21"/>
    <mergeCell ref="G18:AS18"/>
    <mergeCell ref="G19:AS19"/>
    <mergeCell ref="G20:I20"/>
    <mergeCell ref="H25:K25"/>
    <mergeCell ref="L25:S25"/>
    <mergeCell ref="U25:X25"/>
    <mergeCell ref="AL7:AS7"/>
    <mergeCell ref="AL8:AS8"/>
    <mergeCell ref="AL9:AS9"/>
    <mergeCell ref="Y17:AF17"/>
    <mergeCell ref="AH17:AK17"/>
    <mergeCell ref="AL17:AS17"/>
    <mergeCell ref="U13:AF13"/>
    <mergeCell ref="AH13:AS13"/>
    <mergeCell ref="Y14:AF14"/>
    <mergeCell ref="AL14:AS14"/>
    <mergeCell ref="U17:X17"/>
    <mergeCell ref="AH16:AK16"/>
    <mergeCell ref="AL16:AS16"/>
    <mergeCell ref="U16:X16"/>
    <mergeCell ref="Y16:AF16"/>
    <mergeCell ref="Y15:AF15"/>
    <mergeCell ref="G6:AS6"/>
    <mergeCell ref="H7:K7"/>
    <mergeCell ref="H8:K8"/>
    <mergeCell ref="H9:K9"/>
    <mergeCell ref="U7:X7"/>
    <mergeCell ref="U8:X8"/>
    <mergeCell ref="U9:X9"/>
    <mergeCell ref="AH7:AK7"/>
    <mergeCell ref="AH8:AK8"/>
    <mergeCell ref="AH9:AK9"/>
    <mergeCell ref="L7:S7"/>
    <mergeCell ref="L8:S8"/>
    <mergeCell ref="L9:S9"/>
    <mergeCell ref="Y7:AF7"/>
    <mergeCell ref="Y8:AF8"/>
    <mergeCell ref="Y9:AF9"/>
    <mergeCell ref="J12:Q12"/>
    <mergeCell ref="G12:I12"/>
    <mergeCell ref="H13:S13"/>
    <mergeCell ref="L14:S14"/>
    <mergeCell ref="H17:K17"/>
    <mergeCell ref="L17:S17"/>
    <mergeCell ref="L15:S15"/>
    <mergeCell ref="L16:S16"/>
    <mergeCell ref="L23:S23"/>
    <mergeCell ref="Y23:AF23"/>
    <mergeCell ref="L22:S22"/>
    <mergeCell ref="Y22:AF22"/>
    <mergeCell ref="L21:S21"/>
    <mergeCell ref="Y21:AF21"/>
    <mergeCell ref="AL30:AS30"/>
    <mergeCell ref="AH30:AK30"/>
    <mergeCell ref="L24:S24"/>
    <mergeCell ref="Y24:AF24"/>
    <mergeCell ref="H24:J24"/>
    <mergeCell ref="U24:W24"/>
    <mergeCell ref="AH24:AJ24"/>
    <mergeCell ref="H26:K26"/>
    <mergeCell ref="L26:S26"/>
    <mergeCell ref="Y25:AF25"/>
    <mergeCell ref="AH25:AK25"/>
    <mergeCell ref="AH32:AK32"/>
    <mergeCell ref="AL32:AS32"/>
    <mergeCell ref="H36:K36"/>
    <mergeCell ref="L36:S36"/>
    <mergeCell ref="AH36:AK36"/>
    <mergeCell ref="AL36:AS36"/>
    <mergeCell ref="AH14:AJ14"/>
    <mergeCell ref="AH15:AJ15"/>
    <mergeCell ref="H21:J21"/>
    <mergeCell ref="H22:J22"/>
    <mergeCell ref="H23:J23"/>
    <mergeCell ref="U21:W21"/>
    <mergeCell ref="U22:W22"/>
    <mergeCell ref="U23:W23"/>
    <mergeCell ref="AH21:AJ21"/>
    <mergeCell ref="AH22:AJ22"/>
    <mergeCell ref="AH23:AJ23"/>
    <mergeCell ref="H14:J14"/>
    <mergeCell ref="H15:J15"/>
    <mergeCell ref="H16:J16"/>
    <mergeCell ref="U14:W14"/>
    <mergeCell ref="U15:W15"/>
  </mergeCells>
  <dataValidations count="2">
    <dataValidation allowBlank="1" showInputMessage="1" showErrorMessage="1" promptTitle="DON'T TYPE OVER THIS" prompt="This cell contains a formula!" sqref="W12 L16:S16 Y16:AF16 AL16:AS16 L26:S26 Y26:AF26 AL26:AS26 AL30:AS30 Y7:AF7 AL7:AS9"/>
    <dataValidation allowBlank="1" showInputMessage="1" showErrorMessage="1" promptTitle="DON'T TYPE OVER THIS" prompt="This cell contains a formula" sqref="AK12"/>
  </dataValidations>
  <printOptions horizontalCentered="1"/>
  <pageMargins left="0.23622047244094499" right="0.23622047244094499" top="0.24803149599999999" bottom="0.74803149606299202" header="0" footer="0.31496062992126"/>
  <pageSetup paperSize="9" scale="96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Drop Down 1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Drop Down 2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0</xdr:rowOff>
                  </from>
                  <to>
                    <xdr:col>45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0</xdr:rowOff>
                  </from>
                  <to>
                    <xdr:col>45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0</xdr:rowOff>
                  </from>
                  <to>
                    <xdr:col>45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Countries!$C$2:$C$59</xm:f>
          </x14:formula1>
          <xm:sqref>J12:Q12</xm:sqref>
        </x14:dataValidation>
        <x14:dataValidation type="list" allowBlank="1" showInputMessage="1" showErrorMessage="1">
          <x14:formula1>
            <xm:f>Inventory!$C$7:$C$37</xm:f>
          </x14:formula1>
          <xm:sqref>U21:U24 AH21:AH24 H21:H24</xm:sqref>
        </x14:dataValidation>
        <x14:dataValidation type="list" allowBlank="1" showInputMessage="1">
          <x14:formula1>
            <xm:f>Inventory!$C$7:$C$37</xm:f>
          </x14:formula1>
          <xm:sqref>H14:J15 U14:W15 AH14:AJ15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11.88</v>
      </c>
      <c r="K6" s="118">
        <f>ROUND(1/VLOOKUP(K$5,Table3[[targetCurrency]:[exchangeRate]],3,0),2)</f>
        <v>1.24</v>
      </c>
      <c r="L6" s="118">
        <f>ROUND(1/VLOOKUP(L$5,Table3[[targetCurrency]:[exchangeRate]],3,0),2)</f>
        <v>1.21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27" t="s">
        <v>32</v>
      </c>
      <c r="H10" s="227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27" t="s">
        <v>63</v>
      </c>
      <c r="H11" s="227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27" t="s">
        <v>67</v>
      </c>
      <c r="H12" s="227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16"/>
      <c r="F13" s="216"/>
      <c r="G13" s="216"/>
      <c r="H13" s="216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21"/>
      <c r="F14" s="221"/>
      <c r="G14" s="221"/>
      <c r="H14" s="221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219"/>
      <c r="F15" s="219"/>
      <c r="G15" s="219" t="s">
        <v>72</v>
      </c>
      <c r="H15" s="219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16">
        <v>1600</v>
      </c>
      <c r="F16" s="216"/>
      <c r="G16" s="211" t="s">
        <v>73</v>
      </c>
      <c r="H16" s="211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12" t="s">
        <v>77</v>
      </c>
      <c r="P17" s="212"/>
    </row>
    <row r="18" spans="4:16" ht="15" thickBot="1" x14ac:dyDescent="0.4">
      <c r="D18" s="113" t="s">
        <v>75</v>
      </c>
      <c r="E18" s="218">
        <f>SUM(E16)</f>
        <v>1600</v>
      </c>
      <c r="F18" s="218"/>
      <c r="G18" s="216"/>
      <c r="H18" s="216"/>
      <c r="I18" s="133">
        <f>SUM(I16)</f>
        <v>0</v>
      </c>
      <c r="J18" s="111"/>
      <c r="K18" s="111"/>
      <c r="L18" s="112"/>
      <c r="O18" s="212" t="s">
        <v>79</v>
      </c>
      <c r="P18" s="212"/>
    </row>
    <row r="19" spans="4:16" ht="15" thickTop="1" x14ac:dyDescent="0.35">
      <c r="D19" s="110"/>
      <c r="E19" s="216"/>
      <c r="F19" s="216"/>
      <c r="G19" s="216"/>
      <c r="H19" s="216"/>
      <c r="I19" s="111"/>
      <c r="J19" s="111"/>
      <c r="K19" s="111"/>
      <c r="L19" s="112"/>
      <c r="O19" s="212" t="s">
        <v>81</v>
      </c>
      <c r="P19" s="212"/>
    </row>
    <row r="20" spans="4:16" x14ac:dyDescent="0.35">
      <c r="D20" s="120" t="s">
        <v>11</v>
      </c>
      <c r="E20" s="221"/>
      <c r="F20" s="221"/>
      <c r="G20" s="221"/>
      <c r="H20" s="221"/>
      <c r="I20" s="111"/>
      <c r="J20" s="111"/>
      <c r="K20" s="111"/>
      <c r="L20" s="112"/>
      <c r="O20" s="212" t="s">
        <v>83</v>
      </c>
      <c r="P20" s="212"/>
    </row>
    <row r="21" spans="4:16" x14ac:dyDescent="0.35">
      <c r="D21" s="128" t="s">
        <v>71</v>
      </c>
      <c r="E21" s="219"/>
      <c r="F21" s="219"/>
      <c r="G21" s="219" t="s">
        <v>72</v>
      </c>
      <c r="H21" s="219"/>
      <c r="I21" s="121"/>
      <c r="J21" s="129" t="s">
        <v>76</v>
      </c>
      <c r="K21" s="129"/>
      <c r="L21" s="130"/>
      <c r="O21" s="169" t="s">
        <v>80</v>
      </c>
    </row>
    <row r="22" spans="4:16" x14ac:dyDescent="0.35">
      <c r="D22" s="134" t="s">
        <v>77</v>
      </c>
      <c r="E22" s="222">
        <v>1700</v>
      </c>
      <c r="F22" s="226"/>
      <c r="G22" s="212" t="s">
        <v>77</v>
      </c>
      <c r="H22" s="212"/>
      <c r="I22" s="125">
        <v>1700</v>
      </c>
      <c r="J22" s="135"/>
      <c r="K22" s="125"/>
      <c r="L22" s="136" t="s">
        <v>78</v>
      </c>
      <c r="O22" s="169" t="s">
        <v>13</v>
      </c>
    </row>
    <row r="23" spans="4:16" x14ac:dyDescent="0.35">
      <c r="D23" s="134" t="s">
        <v>79</v>
      </c>
      <c r="E23" s="222">
        <v>0</v>
      </c>
      <c r="F23" s="222"/>
      <c r="G23" s="212" t="s">
        <v>79</v>
      </c>
      <c r="H23" s="212"/>
      <c r="I23" s="125">
        <v>500</v>
      </c>
      <c r="J23" s="135" t="s">
        <v>80</v>
      </c>
      <c r="K23" s="125">
        <v>1530</v>
      </c>
      <c r="L23" s="137">
        <v>42464</v>
      </c>
      <c r="O23" s="169" t="s">
        <v>84</v>
      </c>
    </row>
    <row r="24" spans="4:16" x14ac:dyDescent="0.35">
      <c r="D24" s="134" t="s">
        <v>81</v>
      </c>
      <c r="E24" s="222">
        <v>0</v>
      </c>
      <c r="F24" s="222"/>
      <c r="G24" s="212" t="s">
        <v>81</v>
      </c>
      <c r="H24" s="212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222">
        <v>340</v>
      </c>
      <c r="F25" s="222"/>
      <c r="G25" s="212" t="s">
        <v>83</v>
      </c>
      <c r="H25" s="212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222">
        <v>390</v>
      </c>
      <c r="F26" s="222"/>
      <c r="G26" s="222"/>
      <c r="H26" s="222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222">
        <v>680</v>
      </c>
      <c r="F27" s="222"/>
      <c r="G27" s="222"/>
      <c r="H27" s="222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222">
        <v>390</v>
      </c>
      <c r="F28" s="222"/>
      <c r="G28" s="222"/>
      <c r="H28" s="222"/>
      <c r="I28" s="125"/>
      <c r="J28" s="135"/>
      <c r="K28" s="125"/>
      <c r="L28" s="138"/>
      <c r="O28" s="211" t="s">
        <v>79</v>
      </c>
      <c r="P28" s="211"/>
    </row>
    <row r="29" spans="4:16" ht="15" thickBot="1" x14ac:dyDescent="0.4">
      <c r="D29" s="139" t="s">
        <v>75</v>
      </c>
      <c r="E29" s="223">
        <f>SUM(E22:F28)</f>
        <v>3500</v>
      </c>
      <c r="F29" s="224"/>
      <c r="G29" s="225"/>
      <c r="H29" s="225"/>
      <c r="I29" s="140">
        <f>SUM(I22:I28)</f>
        <v>2845</v>
      </c>
      <c r="J29" s="125"/>
      <c r="K29" s="140">
        <f>SUM(K22:K28)</f>
        <v>4080</v>
      </c>
      <c r="L29" s="138"/>
      <c r="O29" s="211" t="s">
        <v>81</v>
      </c>
      <c r="P29" s="211"/>
    </row>
    <row r="30" spans="4:16" ht="15" thickTop="1" x14ac:dyDescent="0.35">
      <c r="D30" s="141"/>
      <c r="E30" s="225"/>
      <c r="F30" s="225"/>
      <c r="G30" s="225"/>
      <c r="H30" s="225"/>
      <c r="I30" s="125"/>
      <c r="J30" s="125"/>
      <c r="K30" s="125"/>
      <c r="L30" s="138"/>
      <c r="O30" s="168" t="s">
        <v>90</v>
      </c>
    </row>
    <row r="31" spans="4:16" x14ac:dyDescent="0.35">
      <c r="D31" s="120" t="s">
        <v>87</v>
      </c>
      <c r="E31" s="221"/>
      <c r="F31" s="221"/>
      <c r="G31" s="221"/>
      <c r="H31" s="221"/>
      <c r="I31" s="111"/>
      <c r="J31" s="111"/>
      <c r="K31" s="111"/>
      <c r="L31" s="112"/>
      <c r="O31" s="168" t="s">
        <v>80</v>
      </c>
    </row>
    <row r="32" spans="4:16" x14ac:dyDescent="0.35">
      <c r="D32" s="128" t="s">
        <v>71</v>
      </c>
      <c r="E32" s="219"/>
      <c r="F32" s="219"/>
      <c r="G32" s="219" t="s">
        <v>72</v>
      </c>
      <c r="H32" s="219"/>
      <c r="I32" s="121"/>
      <c r="J32" s="129" t="s">
        <v>76</v>
      </c>
      <c r="K32" s="129"/>
      <c r="L32" s="130"/>
      <c r="O32" s="168" t="s">
        <v>13</v>
      </c>
    </row>
    <row r="33" spans="4:15" x14ac:dyDescent="0.35">
      <c r="D33" s="131" t="s">
        <v>88</v>
      </c>
      <c r="E33" s="216">
        <v>1700</v>
      </c>
      <c r="F33" s="216"/>
      <c r="G33" s="211" t="s">
        <v>79</v>
      </c>
      <c r="H33" s="211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220">
        <v>380</v>
      </c>
      <c r="F34" s="220"/>
      <c r="G34" s="211" t="s">
        <v>81</v>
      </c>
      <c r="H34" s="211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220">
        <v>500</v>
      </c>
      <c r="F35" s="220"/>
      <c r="G35" s="211"/>
      <c r="H35" s="211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220">
        <v>300</v>
      </c>
      <c r="F36" s="220"/>
      <c r="G36" s="211"/>
      <c r="H36" s="211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218">
        <f>SUM(E33:F36)</f>
        <v>2880</v>
      </c>
      <c r="F37" s="218"/>
      <c r="G37" s="216"/>
      <c r="H37" s="216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16"/>
      <c r="F38" s="216"/>
      <c r="G38" s="216"/>
      <c r="H38" s="216"/>
      <c r="I38" s="111"/>
      <c r="J38" s="111"/>
      <c r="K38" s="111"/>
      <c r="L38" s="112"/>
    </row>
    <row r="39" spans="4:15" x14ac:dyDescent="0.35">
      <c r="D39" s="128" t="s">
        <v>92</v>
      </c>
      <c r="E39" s="219"/>
      <c r="F39" s="219"/>
      <c r="G39" s="219"/>
      <c r="H39" s="219"/>
      <c r="I39" s="121"/>
      <c r="J39" s="121"/>
      <c r="K39" s="121"/>
      <c r="L39" s="130"/>
    </row>
    <row r="40" spans="4:15" x14ac:dyDescent="0.35">
      <c r="D40" s="131" t="s">
        <v>93</v>
      </c>
      <c r="E40" s="216">
        <v>1000</v>
      </c>
      <c r="F40" s="216"/>
      <c r="G40" s="216"/>
      <c r="H40" s="216"/>
      <c r="I40" s="111"/>
      <c r="J40" s="111"/>
      <c r="K40" s="111"/>
      <c r="L40" s="112"/>
    </row>
    <row r="41" spans="4:15" x14ac:dyDescent="0.35">
      <c r="D41" s="131" t="s">
        <v>94</v>
      </c>
      <c r="E41" s="216">
        <v>500</v>
      </c>
      <c r="F41" s="216"/>
      <c r="G41" s="216"/>
      <c r="H41" s="216"/>
      <c r="I41" s="111"/>
      <c r="J41" s="111"/>
      <c r="K41" s="111"/>
      <c r="L41" s="112"/>
    </row>
    <row r="42" spans="4:15" ht="15" thickBot="1" x14ac:dyDescent="0.4">
      <c r="D42" s="113" t="s">
        <v>75</v>
      </c>
      <c r="E42" s="218">
        <f>SUM(E40:F41)</f>
        <v>1500</v>
      </c>
      <c r="F42" s="218"/>
      <c r="G42" s="216"/>
      <c r="H42" s="216"/>
      <c r="I42" s="111"/>
      <c r="J42" s="111"/>
      <c r="K42" s="111"/>
      <c r="L42" s="112"/>
    </row>
    <row r="43" spans="4:15" ht="15" thickTop="1" x14ac:dyDescent="0.35">
      <c r="D43" s="110"/>
      <c r="E43" s="216"/>
      <c r="F43" s="216"/>
      <c r="G43" s="216"/>
      <c r="H43" s="216"/>
      <c r="I43" s="111"/>
      <c r="J43" s="111"/>
      <c r="K43" s="111"/>
      <c r="L43" s="112"/>
    </row>
    <row r="44" spans="4:15" ht="15" thickBot="1" x14ac:dyDescent="0.4">
      <c r="D44" s="144" t="s">
        <v>95</v>
      </c>
      <c r="E44" s="217">
        <f>SUM(E18,I18,K18,E29,I29,K29,E37,K37,I37,E42)</f>
        <v>17205</v>
      </c>
      <c r="F44" s="217"/>
      <c r="G44" s="216"/>
      <c r="H44" s="216"/>
      <c r="I44" s="111"/>
      <c r="J44" s="145" t="s">
        <v>96</v>
      </c>
      <c r="K44" s="133"/>
      <c r="L44" s="112"/>
    </row>
    <row r="45" spans="4:15" ht="15" thickTop="1" x14ac:dyDescent="0.35">
      <c r="D45" s="144"/>
      <c r="E45" s="214"/>
      <c r="F45" s="214"/>
      <c r="G45" s="145"/>
      <c r="H45" s="145"/>
      <c r="I45" s="111"/>
      <c r="J45" s="145"/>
      <c r="K45" s="146"/>
      <c r="L45" s="112"/>
    </row>
    <row r="46" spans="4:15" x14ac:dyDescent="0.35">
      <c r="D46" s="144"/>
      <c r="E46" s="214"/>
      <c r="F46" s="214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213"/>
      <c r="F47" s="213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214"/>
      <c r="F48" s="214"/>
      <c r="G48" s="145"/>
      <c r="H48" s="145"/>
      <c r="I48" s="111"/>
      <c r="J48" s="145"/>
      <c r="K48" s="146"/>
      <c r="L48" s="112"/>
    </row>
    <row r="49" spans="4:12" x14ac:dyDescent="0.35">
      <c r="D49" s="144"/>
      <c r="E49" s="214"/>
      <c r="F49" s="214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215"/>
      <c r="F50" s="215"/>
      <c r="G50" s="151"/>
      <c r="H50" s="151"/>
      <c r="I50" s="151"/>
      <c r="J50" s="151"/>
      <c r="K50" s="151"/>
      <c r="L50" s="152"/>
    </row>
  </sheetData>
  <mergeCells count="77">
    <mergeCell ref="E14:F14"/>
    <mergeCell ref="G14:H14"/>
    <mergeCell ref="G10:H10"/>
    <mergeCell ref="G11:H11"/>
    <mergeCell ref="G12:H12"/>
    <mergeCell ref="E13:F13"/>
    <mergeCell ref="G13:H13"/>
    <mergeCell ref="E15:F15"/>
    <mergeCell ref="G15:H15"/>
    <mergeCell ref="E16:F16"/>
    <mergeCell ref="G16:H16"/>
    <mergeCell ref="E18:F18"/>
    <mergeCell ref="G18:H18"/>
    <mergeCell ref="E19:F19"/>
    <mergeCell ref="G19:H19"/>
    <mergeCell ref="E20:F20"/>
    <mergeCell ref="G20:H20"/>
    <mergeCell ref="E21:F21"/>
    <mergeCell ref="G21:H21"/>
    <mergeCell ref="E22:F22"/>
    <mergeCell ref="G22:H22"/>
    <mergeCell ref="E23:F23"/>
    <mergeCell ref="G23:H23"/>
    <mergeCell ref="E24:F24"/>
    <mergeCell ref="G24:H24"/>
    <mergeCell ref="E25:F25"/>
    <mergeCell ref="G25:H25"/>
    <mergeCell ref="E26:F26"/>
    <mergeCell ref="G26:H26"/>
    <mergeCell ref="E27:F27"/>
    <mergeCell ref="G27:H27"/>
    <mergeCell ref="E28:F28"/>
    <mergeCell ref="G28:H28"/>
    <mergeCell ref="E29:F29"/>
    <mergeCell ref="G29:H29"/>
    <mergeCell ref="E30:F30"/>
    <mergeCell ref="G30:H30"/>
    <mergeCell ref="E31:F31"/>
    <mergeCell ref="G31:H31"/>
    <mergeCell ref="E32:F32"/>
    <mergeCell ref="G32:H32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G37:H37"/>
    <mergeCell ref="E38:F38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  <mergeCell ref="G43:H43"/>
    <mergeCell ref="E44:F44"/>
    <mergeCell ref="G44:H44"/>
    <mergeCell ref="E45:F45"/>
    <mergeCell ref="E46:F46"/>
    <mergeCell ref="E47:F47"/>
    <mergeCell ref="E48:F48"/>
    <mergeCell ref="E49:F49"/>
    <mergeCell ref="E50:F50"/>
    <mergeCell ref="E43:F43"/>
    <mergeCell ref="O29:P29"/>
    <mergeCell ref="O17:P17"/>
    <mergeCell ref="O18:P18"/>
    <mergeCell ref="O19:P19"/>
    <mergeCell ref="O20:P20"/>
    <mergeCell ref="O28:P28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91" workbookViewId="0">
      <selection activeCell="O1" sqref="O1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7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7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615</v>
      </c>
      <c r="E2" s="158" t="s">
        <v>551</v>
      </c>
      <c r="F2" s="158" t="s">
        <v>526</v>
      </c>
      <c r="G2" s="158" t="s">
        <v>616</v>
      </c>
      <c r="H2" s="158" t="s">
        <v>616</v>
      </c>
      <c r="I2" s="158" t="s">
        <v>617</v>
      </c>
      <c r="J2" s="159" t="s">
        <v>765</v>
      </c>
      <c r="K2" s="158" t="s">
        <v>913</v>
      </c>
      <c r="L2" s="158" t="s">
        <v>616</v>
      </c>
      <c r="M2" s="158" t="s">
        <v>526</v>
      </c>
      <c r="N2" s="158" t="s">
        <v>1061</v>
      </c>
      <c r="O2" s="158" t="s">
        <v>53</v>
      </c>
      <c r="P2" s="158" t="s">
        <v>1065</v>
      </c>
      <c r="Q2" s="158" t="s">
        <v>1213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615</v>
      </c>
      <c r="E3" s="158" t="s">
        <v>551</v>
      </c>
      <c r="F3" s="158" t="s">
        <v>526</v>
      </c>
      <c r="G3" s="158" t="s">
        <v>616</v>
      </c>
      <c r="H3" s="158" t="s">
        <v>616</v>
      </c>
      <c r="I3" s="158" t="s">
        <v>618</v>
      </c>
      <c r="J3" s="159" t="s">
        <v>766</v>
      </c>
      <c r="K3" s="158" t="s">
        <v>914</v>
      </c>
      <c r="L3" s="158" t="s">
        <v>616</v>
      </c>
      <c r="M3" s="158" t="s">
        <v>526</v>
      </c>
      <c r="N3" s="158" t="s">
        <v>1061</v>
      </c>
      <c r="O3" s="158" t="s">
        <v>382</v>
      </c>
      <c r="P3" s="158" t="s">
        <v>1066</v>
      </c>
      <c r="Q3" s="158" t="s">
        <v>1214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615</v>
      </c>
      <c r="E4" s="158" t="s">
        <v>551</v>
      </c>
      <c r="F4" s="158" t="s">
        <v>526</v>
      </c>
      <c r="G4" s="158" t="s">
        <v>616</v>
      </c>
      <c r="H4" s="158" t="s">
        <v>616</v>
      </c>
      <c r="I4" s="158" t="s">
        <v>619</v>
      </c>
      <c r="J4" s="159" t="s">
        <v>767</v>
      </c>
      <c r="K4" s="158" t="s">
        <v>915</v>
      </c>
      <c r="L4" s="158" t="s">
        <v>616</v>
      </c>
      <c r="M4" s="158" t="s">
        <v>526</v>
      </c>
      <c r="N4" s="158" t="s">
        <v>1061</v>
      </c>
      <c r="O4" s="158" t="s">
        <v>429</v>
      </c>
      <c r="P4" s="158" t="s">
        <v>1067</v>
      </c>
      <c r="Q4" s="158" t="s">
        <v>1215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615</v>
      </c>
      <c r="E5" s="158" t="s">
        <v>551</v>
      </c>
      <c r="F5" s="158" t="s">
        <v>526</v>
      </c>
      <c r="G5" s="158" t="s">
        <v>616</v>
      </c>
      <c r="H5" s="158" t="s">
        <v>616</v>
      </c>
      <c r="I5" s="158" t="s">
        <v>620</v>
      </c>
      <c r="J5" s="159" t="s">
        <v>768</v>
      </c>
      <c r="K5" s="158" t="s">
        <v>916</v>
      </c>
      <c r="L5" s="158" t="s">
        <v>616</v>
      </c>
      <c r="M5" s="158" t="s">
        <v>526</v>
      </c>
      <c r="N5" s="158" t="s">
        <v>1061</v>
      </c>
      <c r="O5" s="158" t="s">
        <v>450</v>
      </c>
      <c r="P5" s="158" t="s">
        <v>1068</v>
      </c>
      <c r="Q5" s="158" t="s">
        <v>1216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615</v>
      </c>
      <c r="E6" s="158" t="s">
        <v>551</v>
      </c>
      <c r="F6" s="158" t="s">
        <v>526</v>
      </c>
      <c r="G6" s="158" t="s">
        <v>616</v>
      </c>
      <c r="H6" s="158" t="s">
        <v>616</v>
      </c>
      <c r="I6" s="158" t="s">
        <v>621</v>
      </c>
      <c r="J6" s="159" t="s">
        <v>769</v>
      </c>
      <c r="K6" s="158" t="s">
        <v>917</v>
      </c>
      <c r="L6" s="158" t="s">
        <v>616</v>
      </c>
      <c r="M6" s="158" t="s">
        <v>526</v>
      </c>
      <c r="N6" s="158" t="s">
        <v>1061</v>
      </c>
      <c r="O6" s="158" t="s">
        <v>410</v>
      </c>
      <c r="P6" s="158" t="s">
        <v>1069</v>
      </c>
      <c r="Q6" s="158" t="s">
        <v>1217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615</v>
      </c>
      <c r="E7" s="158" t="s">
        <v>551</v>
      </c>
      <c r="F7" s="158" t="s">
        <v>526</v>
      </c>
      <c r="G7" s="158" t="s">
        <v>616</v>
      </c>
      <c r="H7" s="158" t="s">
        <v>616</v>
      </c>
      <c r="I7" s="158" t="s">
        <v>622</v>
      </c>
      <c r="J7" s="159" t="s">
        <v>770</v>
      </c>
      <c r="K7" s="158" t="s">
        <v>918</v>
      </c>
      <c r="L7" s="158" t="s">
        <v>616</v>
      </c>
      <c r="M7" s="158" t="s">
        <v>526</v>
      </c>
      <c r="N7" s="158" t="s">
        <v>1061</v>
      </c>
      <c r="O7" s="158" t="s">
        <v>407</v>
      </c>
      <c r="P7" s="158" t="s">
        <v>1070</v>
      </c>
      <c r="Q7" s="158" t="s">
        <v>1218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615</v>
      </c>
      <c r="E8" s="158" t="s">
        <v>551</v>
      </c>
      <c r="F8" s="158" t="s">
        <v>526</v>
      </c>
      <c r="G8" s="158" t="s">
        <v>616</v>
      </c>
      <c r="H8" s="158" t="s">
        <v>616</v>
      </c>
      <c r="I8" s="158" t="s">
        <v>623</v>
      </c>
      <c r="J8" s="159" t="s">
        <v>771</v>
      </c>
      <c r="K8" s="158" t="s">
        <v>919</v>
      </c>
      <c r="L8" s="158" t="s">
        <v>616</v>
      </c>
      <c r="M8" s="158" t="s">
        <v>526</v>
      </c>
      <c r="N8" s="158" t="s">
        <v>1061</v>
      </c>
      <c r="O8" s="158" t="s">
        <v>390</v>
      </c>
      <c r="P8" s="158" t="s">
        <v>1071</v>
      </c>
      <c r="Q8" s="158" t="s">
        <v>1219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615</v>
      </c>
      <c r="E9" s="158" t="s">
        <v>551</v>
      </c>
      <c r="F9" s="158" t="s">
        <v>526</v>
      </c>
      <c r="G9" s="158" t="s">
        <v>616</v>
      </c>
      <c r="H9" s="158" t="s">
        <v>616</v>
      </c>
      <c r="I9" s="158" t="s">
        <v>624</v>
      </c>
      <c r="J9" s="159" t="s">
        <v>772</v>
      </c>
      <c r="K9" s="158" t="s">
        <v>920</v>
      </c>
      <c r="L9" s="158" t="s">
        <v>616</v>
      </c>
      <c r="M9" s="158" t="s">
        <v>526</v>
      </c>
      <c r="N9" s="158" t="s">
        <v>1061</v>
      </c>
      <c r="O9" s="158" t="s">
        <v>404</v>
      </c>
      <c r="P9" s="158" t="s">
        <v>1072</v>
      </c>
      <c r="Q9" s="158" t="s">
        <v>1220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615</v>
      </c>
      <c r="E10" s="158" t="s">
        <v>551</v>
      </c>
      <c r="F10" s="158" t="s">
        <v>526</v>
      </c>
      <c r="G10" s="158" t="s">
        <v>616</v>
      </c>
      <c r="H10" s="158" t="s">
        <v>616</v>
      </c>
      <c r="I10" s="158" t="s">
        <v>625</v>
      </c>
      <c r="J10" s="159" t="s">
        <v>773</v>
      </c>
      <c r="K10" s="158" t="s">
        <v>921</v>
      </c>
      <c r="L10" s="158" t="s">
        <v>616</v>
      </c>
      <c r="M10" s="158" t="s">
        <v>526</v>
      </c>
      <c r="N10" s="158" t="s">
        <v>1061</v>
      </c>
      <c r="O10" s="158" t="s">
        <v>521</v>
      </c>
      <c r="P10" s="158" t="s">
        <v>1073</v>
      </c>
      <c r="Q10" s="158" t="s">
        <v>1221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615</v>
      </c>
      <c r="E11" s="158" t="s">
        <v>551</v>
      </c>
      <c r="F11" s="158" t="s">
        <v>526</v>
      </c>
      <c r="G11" s="158" t="s">
        <v>616</v>
      </c>
      <c r="H11" s="158" t="s">
        <v>616</v>
      </c>
      <c r="I11" s="158" t="s">
        <v>626</v>
      </c>
      <c r="J11" s="159" t="s">
        <v>774</v>
      </c>
      <c r="K11" s="158" t="s">
        <v>922</v>
      </c>
      <c r="L11" s="158" t="s">
        <v>616</v>
      </c>
      <c r="M11" s="158" t="s">
        <v>526</v>
      </c>
      <c r="N11" s="158" t="s">
        <v>1061</v>
      </c>
      <c r="O11" s="158" t="s">
        <v>478</v>
      </c>
      <c r="P11" s="158" t="s">
        <v>1074</v>
      </c>
      <c r="Q11" s="158" t="s">
        <v>1222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615</v>
      </c>
      <c r="E12" s="158" t="s">
        <v>551</v>
      </c>
      <c r="F12" s="158" t="s">
        <v>526</v>
      </c>
      <c r="G12" s="158" t="s">
        <v>616</v>
      </c>
      <c r="H12" s="158" t="s">
        <v>616</v>
      </c>
      <c r="I12" s="158" t="s">
        <v>627</v>
      </c>
      <c r="J12" s="159" t="s">
        <v>775</v>
      </c>
      <c r="K12" s="158" t="s">
        <v>923</v>
      </c>
      <c r="L12" s="158" t="s">
        <v>616</v>
      </c>
      <c r="M12" s="158" t="s">
        <v>526</v>
      </c>
      <c r="N12" s="158" t="s">
        <v>1061</v>
      </c>
      <c r="O12" s="158" t="s">
        <v>459</v>
      </c>
      <c r="P12" s="158" t="s">
        <v>1075</v>
      </c>
      <c r="Q12" s="158" t="s">
        <v>1223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615</v>
      </c>
      <c r="E13" s="158" t="s">
        <v>551</v>
      </c>
      <c r="F13" s="158" t="s">
        <v>526</v>
      </c>
      <c r="G13" s="158" t="s">
        <v>616</v>
      </c>
      <c r="H13" s="158" t="s">
        <v>616</v>
      </c>
      <c r="I13" s="158" t="s">
        <v>628</v>
      </c>
      <c r="J13" s="159" t="s">
        <v>776</v>
      </c>
      <c r="K13" s="158" t="s">
        <v>924</v>
      </c>
      <c r="L13" s="158" t="s">
        <v>616</v>
      </c>
      <c r="M13" s="158" t="s">
        <v>526</v>
      </c>
      <c r="N13" s="158" t="s">
        <v>1061</v>
      </c>
      <c r="O13" s="158" t="s">
        <v>1062</v>
      </c>
      <c r="P13" s="158" t="s">
        <v>1076</v>
      </c>
      <c r="Q13" s="158" t="s">
        <v>1224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615</v>
      </c>
      <c r="E14" s="158" t="s">
        <v>551</v>
      </c>
      <c r="F14" s="158" t="s">
        <v>526</v>
      </c>
      <c r="G14" s="158" t="s">
        <v>616</v>
      </c>
      <c r="H14" s="158" t="s">
        <v>616</v>
      </c>
      <c r="I14" s="158" t="s">
        <v>629</v>
      </c>
      <c r="J14" s="159" t="s">
        <v>777</v>
      </c>
      <c r="K14" s="158" t="s">
        <v>925</v>
      </c>
      <c r="L14" s="158" t="s">
        <v>616</v>
      </c>
      <c r="M14" s="158" t="s">
        <v>526</v>
      </c>
      <c r="N14" s="158" t="s">
        <v>1061</v>
      </c>
      <c r="O14" s="158" t="s">
        <v>434</v>
      </c>
      <c r="P14" s="158" t="s">
        <v>1077</v>
      </c>
      <c r="Q14" s="158" t="s">
        <v>1225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615</v>
      </c>
      <c r="E15" s="158" t="s">
        <v>551</v>
      </c>
      <c r="F15" s="158" t="s">
        <v>526</v>
      </c>
      <c r="G15" s="158" t="s">
        <v>616</v>
      </c>
      <c r="H15" s="158" t="s">
        <v>616</v>
      </c>
      <c r="I15" s="158" t="s">
        <v>630</v>
      </c>
      <c r="J15" s="159" t="s">
        <v>778</v>
      </c>
      <c r="K15" s="158" t="s">
        <v>926</v>
      </c>
      <c r="L15" s="158" t="s">
        <v>616</v>
      </c>
      <c r="M15" s="158" t="s">
        <v>526</v>
      </c>
      <c r="N15" s="158" t="s">
        <v>1061</v>
      </c>
      <c r="O15" s="158" t="s">
        <v>430</v>
      </c>
      <c r="P15" s="158" t="s">
        <v>1078</v>
      </c>
      <c r="Q15" s="158" t="s">
        <v>1226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615</v>
      </c>
      <c r="E16" s="158" t="s">
        <v>551</v>
      </c>
      <c r="F16" s="158" t="s">
        <v>526</v>
      </c>
      <c r="G16" s="158" t="s">
        <v>616</v>
      </c>
      <c r="H16" s="158" t="s">
        <v>616</v>
      </c>
      <c r="I16" s="158" t="s">
        <v>631</v>
      </c>
      <c r="J16" s="159" t="s">
        <v>779</v>
      </c>
      <c r="K16" s="158" t="s">
        <v>927</v>
      </c>
      <c r="L16" s="158" t="s">
        <v>616</v>
      </c>
      <c r="M16" s="158" t="s">
        <v>526</v>
      </c>
      <c r="N16" s="158" t="s">
        <v>1061</v>
      </c>
      <c r="O16" s="158" t="s">
        <v>496</v>
      </c>
      <c r="P16" s="158" t="s">
        <v>1079</v>
      </c>
      <c r="Q16" s="158" t="s">
        <v>1227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615</v>
      </c>
      <c r="E17" s="158" t="s">
        <v>551</v>
      </c>
      <c r="F17" s="158" t="s">
        <v>526</v>
      </c>
      <c r="G17" s="158" t="s">
        <v>616</v>
      </c>
      <c r="H17" s="158" t="s">
        <v>616</v>
      </c>
      <c r="I17" s="158" t="s">
        <v>632</v>
      </c>
      <c r="J17" s="159" t="s">
        <v>780</v>
      </c>
      <c r="K17" s="158" t="s">
        <v>928</v>
      </c>
      <c r="L17" s="158" t="s">
        <v>616</v>
      </c>
      <c r="M17" s="158" t="s">
        <v>526</v>
      </c>
      <c r="N17" s="158" t="s">
        <v>1061</v>
      </c>
      <c r="O17" s="158" t="s">
        <v>414</v>
      </c>
      <c r="P17" s="158" t="s">
        <v>1080</v>
      </c>
      <c r="Q17" s="158" t="s">
        <v>1228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615</v>
      </c>
      <c r="E18" s="158" t="s">
        <v>551</v>
      </c>
      <c r="F18" s="158" t="s">
        <v>526</v>
      </c>
      <c r="G18" s="158" t="s">
        <v>616</v>
      </c>
      <c r="H18" s="158" t="s">
        <v>616</v>
      </c>
      <c r="I18" s="158" t="s">
        <v>633</v>
      </c>
      <c r="J18" s="159" t="s">
        <v>781</v>
      </c>
      <c r="K18" s="158" t="s">
        <v>929</v>
      </c>
      <c r="L18" s="158" t="s">
        <v>616</v>
      </c>
      <c r="M18" s="158" t="s">
        <v>526</v>
      </c>
      <c r="N18" s="158" t="s">
        <v>1061</v>
      </c>
      <c r="O18" s="158" t="s">
        <v>487</v>
      </c>
      <c r="P18" s="158" t="s">
        <v>1081</v>
      </c>
      <c r="Q18" s="158" t="s">
        <v>1229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615</v>
      </c>
      <c r="E19" s="158" t="s">
        <v>551</v>
      </c>
      <c r="F19" s="158" t="s">
        <v>526</v>
      </c>
      <c r="G19" s="158" t="s">
        <v>616</v>
      </c>
      <c r="H19" s="158" t="s">
        <v>616</v>
      </c>
      <c r="I19" s="158" t="s">
        <v>634</v>
      </c>
      <c r="J19" s="159" t="s">
        <v>782</v>
      </c>
      <c r="K19" s="158" t="s">
        <v>930</v>
      </c>
      <c r="L19" s="158" t="s">
        <v>616</v>
      </c>
      <c r="M19" s="158" t="s">
        <v>526</v>
      </c>
      <c r="N19" s="158" t="s">
        <v>1061</v>
      </c>
      <c r="O19" s="158" t="s">
        <v>422</v>
      </c>
      <c r="P19" s="158" t="s">
        <v>1082</v>
      </c>
      <c r="Q19" s="158" t="s">
        <v>1230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615</v>
      </c>
      <c r="E20" s="158" t="s">
        <v>551</v>
      </c>
      <c r="F20" s="158" t="s">
        <v>526</v>
      </c>
      <c r="G20" s="158" t="s">
        <v>616</v>
      </c>
      <c r="H20" s="158" t="s">
        <v>616</v>
      </c>
      <c r="I20" s="158" t="s">
        <v>635</v>
      </c>
      <c r="J20" s="159" t="s">
        <v>783</v>
      </c>
      <c r="K20" s="158" t="s">
        <v>931</v>
      </c>
      <c r="L20" s="158" t="s">
        <v>616</v>
      </c>
      <c r="M20" s="158" t="s">
        <v>526</v>
      </c>
      <c r="N20" s="158" t="s">
        <v>1061</v>
      </c>
      <c r="O20" s="158" t="s">
        <v>395</v>
      </c>
      <c r="P20" s="158" t="s">
        <v>1083</v>
      </c>
      <c r="Q20" s="158" t="s">
        <v>1231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615</v>
      </c>
      <c r="E21" s="158" t="s">
        <v>551</v>
      </c>
      <c r="F21" s="158" t="s">
        <v>526</v>
      </c>
      <c r="G21" s="158" t="s">
        <v>616</v>
      </c>
      <c r="H21" s="158" t="s">
        <v>616</v>
      </c>
      <c r="I21" s="158" t="s">
        <v>636</v>
      </c>
      <c r="J21" s="159" t="s">
        <v>784</v>
      </c>
      <c r="K21" s="158" t="s">
        <v>932</v>
      </c>
      <c r="L21" s="158" t="s">
        <v>616</v>
      </c>
      <c r="M21" s="158" t="s">
        <v>526</v>
      </c>
      <c r="N21" s="158" t="s">
        <v>1061</v>
      </c>
      <c r="O21" s="158" t="s">
        <v>519</v>
      </c>
      <c r="P21" s="158" t="s">
        <v>1084</v>
      </c>
      <c r="Q21" s="158" t="s">
        <v>1232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615</v>
      </c>
      <c r="E22" s="158" t="s">
        <v>551</v>
      </c>
      <c r="F22" s="158" t="s">
        <v>526</v>
      </c>
      <c r="G22" s="158" t="s">
        <v>616</v>
      </c>
      <c r="H22" s="158" t="s">
        <v>616</v>
      </c>
      <c r="I22" s="158" t="s">
        <v>637</v>
      </c>
      <c r="J22" s="159" t="s">
        <v>785</v>
      </c>
      <c r="K22" s="158" t="s">
        <v>933</v>
      </c>
      <c r="L22" s="158" t="s">
        <v>616</v>
      </c>
      <c r="M22" s="158" t="s">
        <v>526</v>
      </c>
      <c r="N22" s="158" t="s">
        <v>1061</v>
      </c>
      <c r="O22" s="158" t="s">
        <v>428</v>
      </c>
      <c r="P22" s="158" t="s">
        <v>1085</v>
      </c>
      <c r="Q22" s="158" t="s">
        <v>1233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615</v>
      </c>
      <c r="E23" s="158" t="s">
        <v>551</v>
      </c>
      <c r="F23" s="158" t="s">
        <v>526</v>
      </c>
      <c r="G23" s="158" t="s">
        <v>616</v>
      </c>
      <c r="H23" s="158" t="s">
        <v>616</v>
      </c>
      <c r="I23" s="158" t="s">
        <v>638</v>
      </c>
      <c r="J23" s="159" t="s">
        <v>786</v>
      </c>
      <c r="K23" s="158" t="s">
        <v>934</v>
      </c>
      <c r="L23" s="158" t="s">
        <v>616</v>
      </c>
      <c r="M23" s="158" t="s">
        <v>526</v>
      </c>
      <c r="N23" s="158" t="s">
        <v>1061</v>
      </c>
      <c r="O23" s="158" t="s">
        <v>493</v>
      </c>
      <c r="P23" s="158" t="s">
        <v>1086</v>
      </c>
      <c r="Q23" s="158" t="s">
        <v>1234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615</v>
      </c>
      <c r="E24" s="158" t="s">
        <v>551</v>
      </c>
      <c r="F24" s="158" t="s">
        <v>526</v>
      </c>
      <c r="G24" s="158" t="s">
        <v>616</v>
      </c>
      <c r="H24" s="158" t="s">
        <v>616</v>
      </c>
      <c r="I24" s="158" t="s">
        <v>639</v>
      </c>
      <c r="J24" s="159" t="s">
        <v>787</v>
      </c>
      <c r="K24" s="158" t="s">
        <v>935</v>
      </c>
      <c r="L24" s="158" t="s">
        <v>616</v>
      </c>
      <c r="M24" s="158" t="s">
        <v>526</v>
      </c>
      <c r="N24" s="158" t="s">
        <v>1061</v>
      </c>
      <c r="O24" s="158" t="s">
        <v>501</v>
      </c>
      <c r="P24" s="158" t="s">
        <v>1087</v>
      </c>
      <c r="Q24" s="158" t="s">
        <v>1235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615</v>
      </c>
      <c r="E25" s="158" t="s">
        <v>551</v>
      </c>
      <c r="F25" s="158" t="s">
        <v>526</v>
      </c>
      <c r="G25" s="158" t="s">
        <v>616</v>
      </c>
      <c r="H25" s="158" t="s">
        <v>616</v>
      </c>
      <c r="I25" s="158" t="s">
        <v>640</v>
      </c>
      <c r="J25" s="159" t="s">
        <v>788</v>
      </c>
      <c r="K25" s="158" t="s">
        <v>936</v>
      </c>
      <c r="L25" s="158" t="s">
        <v>616</v>
      </c>
      <c r="M25" s="158" t="s">
        <v>526</v>
      </c>
      <c r="N25" s="158" t="s">
        <v>1061</v>
      </c>
      <c r="O25" s="158" t="s">
        <v>516</v>
      </c>
      <c r="P25" s="158" t="s">
        <v>1088</v>
      </c>
      <c r="Q25" s="158" t="s">
        <v>1236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615</v>
      </c>
      <c r="E26" s="158" t="s">
        <v>551</v>
      </c>
      <c r="F26" s="158" t="s">
        <v>526</v>
      </c>
      <c r="G26" s="158" t="s">
        <v>616</v>
      </c>
      <c r="H26" s="158" t="s">
        <v>616</v>
      </c>
      <c r="I26" s="158" t="s">
        <v>641</v>
      </c>
      <c r="J26" s="159" t="s">
        <v>789</v>
      </c>
      <c r="K26" s="158" t="s">
        <v>937</v>
      </c>
      <c r="L26" s="158" t="s">
        <v>616</v>
      </c>
      <c r="M26" s="158" t="s">
        <v>526</v>
      </c>
      <c r="N26" s="158" t="s">
        <v>1061</v>
      </c>
      <c r="O26" s="158" t="s">
        <v>441</v>
      </c>
      <c r="P26" s="158" t="s">
        <v>1089</v>
      </c>
      <c r="Q26" s="158" t="s">
        <v>1237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615</v>
      </c>
      <c r="E27" s="158" t="s">
        <v>551</v>
      </c>
      <c r="F27" s="158" t="s">
        <v>526</v>
      </c>
      <c r="G27" s="158" t="s">
        <v>616</v>
      </c>
      <c r="H27" s="158" t="s">
        <v>616</v>
      </c>
      <c r="I27" s="158" t="s">
        <v>642</v>
      </c>
      <c r="J27" s="159" t="s">
        <v>790</v>
      </c>
      <c r="K27" s="158" t="s">
        <v>938</v>
      </c>
      <c r="L27" s="158" t="s">
        <v>616</v>
      </c>
      <c r="M27" s="158" t="s">
        <v>526</v>
      </c>
      <c r="N27" s="158" t="s">
        <v>1061</v>
      </c>
      <c r="O27" s="158" t="s">
        <v>494</v>
      </c>
      <c r="P27" s="158" t="s">
        <v>1090</v>
      </c>
      <c r="Q27" s="158" t="s">
        <v>1238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615</v>
      </c>
      <c r="E28" s="158" t="s">
        <v>551</v>
      </c>
      <c r="F28" s="158" t="s">
        <v>526</v>
      </c>
      <c r="G28" s="158" t="s">
        <v>616</v>
      </c>
      <c r="H28" s="158" t="s">
        <v>616</v>
      </c>
      <c r="I28" s="158" t="s">
        <v>643</v>
      </c>
      <c r="J28" s="159" t="s">
        <v>791</v>
      </c>
      <c r="K28" s="158" t="s">
        <v>939</v>
      </c>
      <c r="L28" s="158" t="s">
        <v>616</v>
      </c>
      <c r="M28" s="158" t="s">
        <v>526</v>
      </c>
      <c r="N28" s="158" t="s">
        <v>1061</v>
      </c>
      <c r="O28" s="158" t="s">
        <v>439</v>
      </c>
      <c r="P28" s="158" t="s">
        <v>1091</v>
      </c>
      <c r="Q28" s="158" t="s">
        <v>1239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615</v>
      </c>
      <c r="E29" s="158" t="s">
        <v>551</v>
      </c>
      <c r="F29" s="158" t="s">
        <v>526</v>
      </c>
      <c r="G29" s="158" t="s">
        <v>616</v>
      </c>
      <c r="H29" s="158" t="s">
        <v>616</v>
      </c>
      <c r="I29" s="158" t="s">
        <v>644</v>
      </c>
      <c r="J29" s="159" t="s">
        <v>792</v>
      </c>
      <c r="K29" s="158" t="s">
        <v>940</v>
      </c>
      <c r="L29" s="158" t="s">
        <v>616</v>
      </c>
      <c r="M29" s="158" t="s">
        <v>526</v>
      </c>
      <c r="N29" s="158" t="s">
        <v>1061</v>
      </c>
      <c r="O29" s="158" t="s">
        <v>452</v>
      </c>
      <c r="P29" s="158" t="s">
        <v>1092</v>
      </c>
      <c r="Q29" s="158" t="s">
        <v>1240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615</v>
      </c>
      <c r="E30" s="158" t="s">
        <v>551</v>
      </c>
      <c r="F30" s="158" t="s">
        <v>526</v>
      </c>
      <c r="G30" s="158" t="s">
        <v>616</v>
      </c>
      <c r="H30" s="158" t="s">
        <v>616</v>
      </c>
      <c r="I30" s="158" t="s">
        <v>645</v>
      </c>
      <c r="J30" s="159" t="s">
        <v>793</v>
      </c>
      <c r="K30" s="158" t="s">
        <v>941</v>
      </c>
      <c r="L30" s="158" t="s">
        <v>616</v>
      </c>
      <c r="M30" s="158" t="s">
        <v>526</v>
      </c>
      <c r="N30" s="158" t="s">
        <v>1061</v>
      </c>
      <c r="O30" s="158" t="s">
        <v>479</v>
      </c>
      <c r="P30" s="158" t="s">
        <v>1093</v>
      </c>
      <c r="Q30" s="158" t="s">
        <v>1241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615</v>
      </c>
      <c r="E31" s="158" t="s">
        <v>551</v>
      </c>
      <c r="F31" s="158" t="s">
        <v>526</v>
      </c>
      <c r="G31" s="158" t="s">
        <v>616</v>
      </c>
      <c r="H31" s="158" t="s">
        <v>616</v>
      </c>
      <c r="I31" s="158" t="s">
        <v>646</v>
      </c>
      <c r="J31" s="159" t="s">
        <v>794</v>
      </c>
      <c r="K31" s="158" t="s">
        <v>942</v>
      </c>
      <c r="L31" s="158" t="s">
        <v>616</v>
      </c>
      <c r="M31" s="158" t="s">
        <v>526</v>
      </c>
      <c r="N31" s="158" t="s">
        <v>1061</v>
      </c>
      <c r="O31" s="158" t="s">
        <v>461</v>
      </c>
      <c r="P31" s="158" t="s">
        <v>1094</v>
      </c>
      <c r="Q31" s="158" t="s">
        <v>1242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615</v>
      </c>
      <c r="E32" s="158" t="s">
        <v>551</v>
      </c>
      <c r="F32" s="158" t="s">
        <v>526</v>
      </c>
      <c r="G32" s="158" t="s">
        <v>616</v>
      </c>
      <c r="H32" s="158" t="s">
        <v>616</v>
      </c>
      <c r="I32" s="158" t="s">
        <v>647</v>
      </c>
      <c r="J32" s="159" t="s">
        <v>795</v>
      </c>
      <c r="K32" s="158" t="s">
        <v>943</v>
      </c>
      <c r="L32" s="158" t="s">
        <v>616</v>
      </c>
      <c r="M32" s="158" t="s">
        <v>526</v>
      </c>
      <c r="N32" s="158" t="s">
        <v>1061</v>
      </c>
      <c r="O32" s="158" t="s">
        <v>497</v>
      </c>
      <c r="P32" s="158" t="s">
        <v>1095</v>
      </c>
      <c r="Q32" s="158" t="s">
        <v>1243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615</v>
      </c>
      <c r="E33" s="158" t="s">
        <v>551</v>
      </c>
      <c r="F33" s="158" t="s">
        <v>526</v>
      </c>
      <c r="G33" s="158" t="s">
        <v>616</v>
      </c>
      <c r="H33" s="158" t="s">
        <v>616</v>
      </c>
      <c r="I33" s="158" t="s">
        <v>648</v>
      </c>
      <c r="J33" s="159" t="s">
        <v>796</v>
      </c>
      <c r="K33" s="158" t="s">
        <v>944</v>
      </c>
      <c r="L33" s="158" t="s">
        <v>616</v>
      </c>
      <c r="M33" s="158" t="s">
        <v>526</v>
      </c>
      <c r="N33" s="158" t="s">
        <v>1061</v>
      </c>
      <c r="O33" s="158" t="s">
        <v>475</v>
      </c>
      <c r="P33" s="158" t="s">
        <v>1096</v>
      </c>
      <c r="Q33" s="158" t="s">
        <v>1244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615</v>
      </c>
      <c r="E34" s="158" t="s">
        <v>551</v>
      </c>
      <c r="F34" s="158" t="s">
        <v>526</v>
      </c>
      <c r="G34" s="158" t="s">
        <v>616</v>
      </c>
      <c r="H34" s="158" t="s">
        <v>616</v>
      </c>
      <c r="I34" s="158" t="s">
        <v>649</v>
      </c>
      <c r="J34" s="159" t="s">
        <v>797</v>
      </c>
      <c r="K34" s="158" t="s">
        <v>945</v>
      </c>
      <c r="L34" s="158" t="s">
        <v>616</v>
      </c>
      <c r="M34" s="158" t="s">
        <v>526</v>
      </c>
      <c r="N34" s="158" t="s">
        <v>1061</v>
      </c>
      <c r="O34" s="158" t="s">
        <v>467</v>
      </c>
      <c r="P34" s="158" t="s">
        <v>1097</v>
      </c>
      <c r="Q34" s="158" t="s">
        <v>1245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615</v>
      </c>
      <c r="E35" s="158" t="s">
        <v>551</v>
      </c>
      <c r="F35" s="158" t="s">
        <v>526</v>
      </c>
      <c r="G35" s="158" t="s">
        <v>616</v>
      </c>
      <c r="H35" s="158" t="s">
        <v>616</v>
      </c>
      <c r="I35" s="158" t="s">
        <v>650</v>
      </c>
      <c r="J35" s="159" t="s">
        <v>798</v>
      </c>
      <c r="K35" s="158" t="s">
        <v>946</v>
      </c>
      <c r="L35" s="158" t="s">
        <v>616</v>
      </c>
      <c r="M35" s="158" t="s">
        <v>526</v>
      </c>
      <c r="N35" s="158" t="s">
        <v>1061</v>
      </c>
      <c r="O35" s="158" t="s">
        <v>442</v>
      </c>
      <c r="P35" s="158" t="s">
        <v>1098</v>
      </c>
      <c r="Q35" s="158" t="s">
        <v>1246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615</v>
      </c>
      <c r="E36" s="158" t="s">
        <v>551</v>
      </c>
      <c r="F36" s="158" t="s">
        <v>526</v>
      </c>
      <c r="G36" s="158" t="s">
        <v>616</v>
      </c>
      <c r="H36" s="158" t="s">
        <v>616</v>
      </c>
      <c r="I36" s="158" t="s">
        <v>651</v>
      </c>
      <c r="J36" s="159" t="s">
        <v>799</v>
      </c>
      <c r="K36" s="158" t="s">
        <v>947</v>
      </c>
      <c r="L36" s="158" t="s">
        <v>616</v>
      </c>
      <c r="M36" s="158" t="s">
        <v>526</v>
      </c>
      <c r="N36" s="158" t="s">
        <v>1061</v>
      </c>
      <c r="O36" s="158" t="s">
        <v>460</v>
      </c>
      <c r="P36" s="158" t="s">
        <v>1099</v>
      </c>
      <c r="Q36" s="158" t="s">
        <v>1247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615</v>
      </c>
      <c r="E37" s="158" t="s">
        <v>551</v>
      </c>
      <c r="F37" s="158" t="s">
        <v>526</v>
      </c>
      <c r="G37" s="158" t="s">
        <v>616</v>
      </c>
      <c r="H37" s="158" t="s">
        <v>616</v>
      </c>
      <c r="I37" s="158" t="s">
        <v>652</v>
      </c>
      <c r="J37" s="159" t="s">
        <v>800</v>
      </c>
      <c r="K37" s="158" t="s">
        <v>948</v>
      </c>
      <c r="L37" s="158" t="s">
        <v>616</v>
      </c>
      <c r="M37" s="158" t="s">
        <v>526</v>
      </c>
      <c r="N37" s="158" t="s">
        <v>1061</v>
      </c>
      <c r="O37" s="158" t="s">
        <v>473</v>
      </c>
      <c r="P37" s="158" t="s">
        <v>1100</v>
      </c>
      <c r="Q37" s="158" t="s">
        <v>1248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615</v>
      </c>
      <c r="E38" s="158" t="s">
        <v>551</v>
      </c>
      <c r="F38" s="158" t="s">
        <v>526</v>
      </c>
      <c r="G38" s="158" t="s">
        <v>616</v>
      </c>
      <c r="H38" s="158" t="s">
        <v>616</v>
      </c>
      <c r="I38" s="158" t="s">
        <v>653</v>
      </c>
      <c r="J38" s="159" t="s">
        <v>801</v>
      </c>
      <c r="K38" s="158" t="s">
        <v>949</v>
      </c>
      <c r="L38" s="158" t="s">
        <v>616</v>
      </c>
      <c r="M38" s="158" t="s">
        <v>526</v>
      </c>
      <c r="N38" s="158" t="s">
        <v>1061</v>
      </c>
      <c r="O38" s="158" t="s">
        <v>509</v>
      </c>
      <c r="P38" s="158" t="s">
        <v>1101</v>
      </c>
      <c r="Q38" s="158" t="s">
        <v>1249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615</v>
      </c>
      <c r="E39" s="158" t="s">
        <v>551</v>
      </c>
      <c r="F39" s="158" t="s">
        <v>526</v>
      </c>
      <c r="G39" s="158" t="s">
        <v>616</v>
      </c>
      <c r="H39" s="158" t="s">
        <v>616</v>
      </c>
      <c r="I39" s="158" t="s">
        <v>654</v>
      </c>
      <c r="J39" s="159" t="s">
        <v>802</v>
      </c>
      <c r="K39" s="158" t="s">
        <v>950</v>
      </c>
      <c r="L39" s="158" t="s">
        <v>616</v>
      </c>
      <c r="M39" s="158" t="s">
        <v>526</v>
      </c>
      <c r="N39" s="158" t="s">
        <v>1061</v>
      </c>
      <c r="O39" s="158" t="s">
        <v>482</v>
      </c>
      <c r="P39" s="158" t="s">
        <v>1102</v>
      </c>
      <c r="Q39" s="158" t="s">
        <v>1250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615</v>
      </c>
      <c r="E40" s="158" t="s">
        <v>551</v>
      </c>
      <c r="F40" s="158" t="s">
        <v>526</v>
      </c>
      <c r="G40" s="158" t="s">
        <v>616</v>
      </c>
      <c r="H40" s="158" t="s">
        <v>616</v>
      </c>
      <c r="I40" s="158" t="s">
        <v>655</v>
      </c>
      <c r="J40" s="159" t="s">
        <v>803</v>
      </c>
      <c r="K40" s="158" t="s">
        <v>951</v>
      </c>
      <c r="L40" s="158" t="s">
        <v>616</v>
      </c>
      <c r="M40" s="158" t="s">
        <v>526</v>
      </c>
      <c r="N40" s="158" t="s">
        <v>1061</v>
      </c>
      <c r="O40" s="158" t="s">
        <v>385</v>
      </c>
      <c r="P40" s="158" t="s">
        <v>1103</v>
      </c>
      <c r="Q40" s="158" t="s">
        <v>1251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615</v>
      </c>
      <c r="E41" s="158" t="s">
        <v>551</v>
      </c>
      <c r="F41" s="158" t="s">
        <v>526</v>
      </c>
      <c r="G41" s="158" t="s">
        <v>616</v>
      </c>
      <c r="H41" s="158" t="s">
        <v>616</v>
      </c>
      <c r="I41" s="158" t="s">
        <v>656</v>
      </c>
      <c r="J41" s="159" t="s">
        <v>804</v>
      </c>
      <c r="K41" s="158" t="s">
        <v>952</v>
      </c>
      <c r="L41" s="158" t="s">
        <v>616</v>
      </c>
      <c r="M41" s="158" t="s">
        <v>526</v>
      </c>
      <c r="N41" s="158" t="s">
        <v>1061</v>
      </c>
      <c r="O41" s="158" t="s">
        <v>440</v>
      </c>
      <c r="P41" s="158" t="s">
        <v>1104</v>
      </c>
      <c r="Q41" s="158" t="s">
        <v>1252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615</v>
      </c>
      <c r="E42" s="158" t="s">
        <v>551</v>
      </c>
      <c r="F42" s="158" t="s">
        <v>526</v>
      </c>
      <c r="G42" s="158" t="s">
        <v>616</v>
      </c>
      <c r="H42" s="158" t="s">
        <v>616</v>
      </c>
      <c r="I42" s="158" t="s">
        <v>657</v>
      </c>
      <c r="J42" s="159" t="s">
        <v>805</v>
      </c>
      <c r="K42" s="158" t="s">
        <v>953</v>
      </c>
      <c r="L42" s="158" t="s">
        <v>616</v>
      </c>
      <c r="M42" s="158" t="s">
        <v>526</v>
      </c>
      <c r="N42" s="158" t="s">
        <v>1061</v>
      </c>
      <c r="O42" s="158" t="s">
        <v>512</v>
      </c>
      <c r="P42" s="158" t="s">
        <v>1105</v>
      </c>
      <c r="Q42" s="158" t="s">
        <v>1253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615</v>
      </c>
      <c r="E43" s="158" t="s">
        <v>551</v>
      </c>
      <c r="F43" s="158" t="s">
        <v>526</v>
      </c>
      <c r="G43" s="158" t="s">
        <v>616</v>
      </c>
      <c r="H43" s="158" t="s">
        <v>616</v>
      </c>
      <c r="I43" s="158" t="s">
        <v>658</v>
      </c>
      <c r="J43" s="159" t="s">
        <v>806</v>
      </c>
      <c r="K43" s="158" t="s">
        <v>954</v>
      </c>
      <c r="L43" s="158" t="s">
        <v>616</v>
      </c>
      <c r="M43" s="158" t="s">
        <v>526</v>
      </c>
      <c r="N43" s="158" t="s">
        <v>1061</v>
      </c>
      <c r="O43" s="158" t="s">
        <v>423</v>
      </c>
      <c r="P43" s="158" t="s">
        <v>1106</v>
      </c>
      <c r="Q43" s="158" t="s">
        <v>1254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615</v>
      </c>
      <c r="E44" s="158" t="s">
        <v>551</v>
      </c>
      <c r="F44" s="158" t="s">
        <v>526</v>
      </c>
      <c r="G44" s="158" t="s">
        <v>616</v>
      </c>
      <c r="H44" s="158" t="s">
        <v>616</v>
      </c>
      <c r="I44" s="158" t="s">
        <v>659</v>
      </c>
      <c r="J44" s="159" t="s">
        <v>807</v>
      </c>
      <c r="K44" s="158" t="s">
        <v>955</v>
      </c>
      <c r="L44" s="158" t="s">
        <v>616</v>
      </c>
      <c r="M44" s="158" t="s">
        <v>526</v>
      </c>
      <c r="N44" s="158" t="s">
        <v>1061</v>
      </c>
      <c r="O44" s="158" t="s">
        <v>455</v>
      </c>
      <c r="P44" s="158" t="s">
        <v>1107</v>
      </c>
      <c r="Q44" s="158" t="s">
        <v>1255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615</v>
      </c>
      <c r="E45" s="158" t="s">
        <v>551</v>
      </c>
      <c r="F45" s="158" t="s">
        <v>526</v>
      </c>
      <c r="G45" s="158" t="s">
        <v>616</v>
      </c>
      <c r="H45" s="158" t="s">
        <v>616</v>
      </c>
      <c r="I45" s="158" t="s">
        <v>660</v>
      </c>
      <c r="J45" s="159" t="s">
        <v>808</v>
      </c>
      <c r="K45" s="158" t="s">
        <v>956</v>
      </c>
      <c r="L45" s="158" t="s">
        <v>616</v>
      </c>
      <c r="M45" s="158" t="s">
        <v>526</v>
      </c>
      <c r="N45" s="158" t="s">
        <v>1061</v>
      </c>
      <c r="O45" s="158" t="s">
        <v>508</v>
      </c>
      <c r="P45" s="158" t="s">
        <v>1108</v>
      </c>
      <c r="Q45" s="158" t="s">
        <v>1256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615</v>
      </c>
      <c r="E46" s="158" t="s">
        <v>551</v>
      </c>
      <c r="F46" s="158" t="s">
        <v>526</v>
      </c>
      <c r="G46" s="158" t="s">
        <v>616</v>
      </c>
      <c r="H46" s="158" t="s">
        <v>616</v>
      </c>
      <c r="I46" s="158" t="s">
        <v>661</v>
      </c>
      <c r="J46" s="159" t="s">
        <v>809</v>
      </c>
      <c r="K46" s="158" t="s">
        <v>957</v>
      </c>
      <c r="L46" s="158" t="s">
        <v>616</v>
      </c>
      <c r="M46" s="158" t="s">
        <v>526</v>
      </c>
      <c r="N46" s="158" t="s">
        <v>1061</v>
      </c>
      <c r="O46" s="158" t="s">
        <v>396</v>
      </c>
      <c r="P46" s="158" t="s">
        <v>1109</v>
      </c>
      <c r="Q46" s="158" t="s">
        <v>1257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615</v>
      </c>
      <c r="E47" s="158" t="s">
        <v>551</v>
      </c>
      <c r="F47" s="158" t="s">
        <v>526</v>
      </c>
      <c r="G47" s="158" t="s">
        <v>616</v>
      </c>
      <c r="H47" s="158" t="s">
        <v>616</v>
      </c>
      <c r="I47" s="158" t="s">
        <v>662</v>
      </c>
      <c r="J47" s="159" t="s">
        <v>810</v>
      </c>
      <c r="K47" s="158" t="s">
        <v>958</v>
      </c>
      <c r="L47" s="158" t="s">
        <v>616</v>
      </c>
      <c r="M47" s="158" t="s">
        <v>526</v>
      </c>
      <c r="N47" s="158" t="s">
        <v>1061</v>
      </c>
      <c r="O47" s="158" t="s">
        <v>424</v>
      </c>
      <c r="P47" s="158" t="s">
        <v>1110</v>
      </c>
      <c r="Q47" s="158" t="s">
        <v>1258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615</v>
      </c>
      <c r="E48" s="158" t="s">
        <v>551</v>
      </c>
      <c r="F48" s="158" t="s">
        <v>526</v>
      </c>
      <c r="G48" s="158" t="s">
        <v>616</v>
      </c>
      <c r="H48" s="158" t="s">
        <v>616</v>
      </c>
      <c r="I48" s="158" t="s">
        <v>663</v>
      </c>
      <c r="J48" s="159" t="s">
        <v>811</v>
      </c>
      <c r="K48" s="158" t="s">
        <v>959</v>
      </c>
      <c r="L48" s="158" t="s">
        <v>616</v>
      </c>
      <c r="M48" s="158" t="s">
        <v>526</v>
      </c>
      <c r="N48" s="158" t="s">
        <v>1061</v>
      </c>
      <c r="O48" s="158" t="s">
        <v>433</v>
      </c>
      <c r="P48" s="158" t="s">
        <v>1111</v>
      </c>
      <c r="Q48" s="158" t="s">
        <v>1259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615</v>
      </c>
      <c r="E49" s="158" t="s">
        <v>551</v>
      </c>
      <c r="F49" s="158" t="s">
        <v>526</v>
      </c>
      <c r="G49" s="158" t="s">
        <v>616</v>
      </c>
      <c r="H49" s="158" t="s">
        <v>616</v>
      </c>
      <c r="I49" s="158" t="s">
        <v>664</v>
      </c>
      <c r="J49" s="159" t="s">
        <v>812</v>
      </c>
      <c r="K49" s="158" t="s">
        <v>960</v>
      </c>
      <c r="L49" s="158" t="s">
        <v>616</v>
      </c>
      <c r="M49" s="158" t="s">
        <v>526</v>
      </c>
      <c r="N49" s="158" t="s">
        <v>1061</v>
      </c>
      <c r="O49" s="158" t="s">
        <v>391</v>
      </c>
      <c r="P49" s="158" t="s">
        <v>1112</v>
      </c>
      <c r="Q49" s="158" t="s">
        <v>1260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615</v>
      </c>
      <c r="E50" s="158" t="s">
        <v>551</v>
      </c>
      <c r="F50" s="158" t="s">
        <v>526</v>
      </c>
      <c r="G50" s="158" t="s">
        <v>616</v>
      </c>
      <c r="H50" s="158" t="s">
        <v>616</v>
      </c>
      <c r="I50" s="158" t="s">
        <v>665</v>
      </c>
      <c r="J50" s="159" t="s">
        <v>813</v>
      </c>
      <c r="K50" s="158" t="s">
        <v>961</v>
      </c>
      <c r="L50" s="158" t="s">
        <v>616</v>
      </c>
      <c r="M50" s="158" t="s">
        <v>526</v>
      </c>
      <c r="N50" s="158" t="s">
        <v>1061</v>
      </c>
      <c r="O50" s="158" t="s">
        <v>472</v>
      </c>
      <c r="P50" s="158" t="s">
        <v>1113</v>
      </c>
      <c r="Q50" s="158" t="s">
        <v>1261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615</v>
      </c>
      <c r="E51" s="158" t="s">
        <v>551</v>
      </c>
      <c r="F51" s="158" t="s">
        <v>526</v>
      </c>
      <c r="G51" s="158" t="s">
        <v>616</v>
      </c>
      <c r="H51" s="158" t="s">
        <v>616</v>
      </c>
      <c r="I51" s="158" t="s">
        <v>666</v>
      </c>
      <c r="J51" s="159" t="s">
        <v>814</v>
      </c>
      <c r="K51" s="158" t="s">
        <v>962</v>
      </c>
      <c r="L51" s="158" t="s">
        <v>616</v>
      </c>
      <c r="M51" s="158" t="s">
        <v>526</v>
      </c>
      <c r="N51" s="158" t="s">
        <v>1061</v>
      </c>
      <c r="O51" s="158" t="s">
        <v>435</v>
      </c>
      <c r="P51" s="158" t="s">
        <v>1114</v>
      </c>
      <c r="Q51" s="158" t="s">
        <v>1262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615</v>
      </c>
      <c r="E52" s="158" t="s">
        <v>551</v>
      </c>
      <c r="F52" s="158" t="s">
        <v>526</v>
      </c>
      <c r="G52" s="158" t="s">
        <v>616</v>
      </c>
      <c r="H52" s="158" t="s">
        <v>616</v>
      </c>
      <c r="I52" s="158" t="s">
        <v>667</v>
      </c>
      <c r="J52" s="159" t="s">
        <v>815</v>
      </c>
      <c r="K52" s="158" t="s">
        <v>963</v>
      </c>
      <c r="L52" s="158" t="s">
        <v>616</v>
      </c>
      <c r="M52" s="158" t="s">
        <v>526</v>
      </c>
      <c r="N52" s="158" t="s">
        <v>1061</v>
      </c>
      <c r="O52" s="158" t="s">
        <v>54</v>
      </c>
      <c r="P52" s="158" t="s">
        <v>1115</v>
      </c>
      <c r="Q52" s="158" t="s">
        <v>1263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615</v>
      </c>
      <c r="E53" s="158" t="s">
        <v>551</v>
      </c>
      <c r="F53" s="158" t="s">
        <v>526</v>
      </c>
      <c r="G53" s="158" t="s">
        <v>616</v>
      </c>
      <c r="H53" s="158" t="s">
        <v>616</v>
      </c>
      <c r="I53" s="158" t="s">
        <v>668</v>
      </c>
      <c r="J53" s="159" t="s">
        <v>816</v>
      </c>
      <c r="K53" s="158" t="s">
        <v>964</v>
      </c>
      <c r="L53" s="158" t="s">
        <v>616</v>
      </c>
      <c r="M53" s="158" t="s">
        <v>526</v>
      </c>
      <c r="N53" s="158" t="s">
        <v>1061</v>
      </c>
      <c r="O53" s="158" t="s">
        <v>474</v>
      </c>
      <c r="P53" s="158" t="s">
        <v>1116</v>
      </c>
      <c r="Q53" s="158" t="s">
        <v>1264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615</v>
      </c>
      <c r="E54" s="158" t="s">
        <v>551</v>
      </c>
      <c r="F54" s="158" t="s">
        <v>526</v>
      </c>
      <c r="G54" s="158" t="s">
        <v>616</v>
      </c>
      <c r="H54" s="158" t="s">
        <v>616</v>
      </c>
      <c r="I54" s="158" t="s">
        <v>669</v>
      </c>
      <c r="J54" s="159" t="s">
        <v>817</v>
      </c>
      <c r="K54" s="158" t="s">
        <v>965</v>
      </c>
      <c r="L54" s="158" t="s">
        <v>616</v>
      </c>
      <c r="M54" s="158" t="s">
        <v>526</v>
      </c>
      <c r="N54" s="158" t="s">
        <v>1061</v>
      </c>
      <c r="O54" s="158" t="s">
        <v>411</v>
      </c>
      <c r="P54" s="158" t="s">
        <v>1117</v>
      </c>
      <c r="Q54" s="158" t="s">
        <v>1265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615</v>
      </c>
      <c r="E55" s="158" t="s">
        <v>551</v>
      </c>
      <c r="F55" s="158" t="s">
        <v>526</v>
      </c>
      <c r="G55" s="158" t="s">
        <v>616</v>
      </c>
      <c r="H55" s="158" t="s">
        <v>616</v>
      </c>
      <c r="I55" s="158" t="s">
        <v>670</v>
      </c>
      <c r="J55" s="159" t="s">
        <v>818</v>
      </c>
      <c r="K55" s="158" t="s">
        <v>966</v>
      </c>
      <c r="L55" s="158" t="s">
        <v>616</v>
      </c>
      <c r="M55" s="158" t="s">
        <v>526</v>
      </c>
      <c r="N55" s="158" t="s">
        <v>1061</v>
      </c>
      <c r="O55" s="158" t="s">
        <v>383</v>
      </c>
      <c r="P55" s="158" t="s">
        <v>1118</v>
      </c>
      <c r="Q55" s="158" t="s">
        <v>1266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615</v>
      </c>
      <c r="E56" s="158" t="s">
        <v>551</v>
      </c>
      <c r="F56" s="158" t="s">
        <v>526</v>
      </c>
      <c r="G56" s="158" t="s">
        <v>616</v>
      </c>
      <c r="H56" s="158" t="s">
        <v>616</v>
      </c>
      <c r="I56" s="158" t="s">
        <v>671</v>
      </c>
      <c r="J56" s="159" t="s">
        <v>819</v>
      </c>
      <c r="K56" s="158" t="s">
        <v>967</v>
      </c>
      <c r="L56" s="158" t="s">
        <v>616</v>
      </c>
      <c r="M56" s="158" t="s">
        <v>526</v>
      </c>
      <c r="N56" s="158" t="s">
        <v>1061</v>
      </c>
      <c r="O56" s="158" t="s">
        <v>484</v>
      </c>
      <c r="P56" s="158" t="s">
        <v>1119</v>
      </c>
      <c r="Q56" s="158" t="s">
        <v>1267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615</v>
      </c>
      <c r="E57" s="158" t="s">
        <v>551</v>
      </c>
      <c r="F57" s="158" t="s">
        <v>526</v>
      </c>
      <c r="G57" s="158" t="s">
        <v>616</v>
      </c>
      <c r="H57" s="158" t="s">
        <v>616</v>
      </c>
      <c r="I57" s="158" t="s">
        <v>672</v>
      </c>
      <c r="J57" s="159" t="s">
        <v>820</v>
      </c>
      <c r="K57" s="158" t="s">
        <v>968</v>
      </c>
      <c r="L57" s="158" t="s">
        <v>616</v>
      </c>
      <c r="M57" s="158" t="s">
        <v>526</v>
      </c>
      <c r="N57" s="158" t="s">
        <v>1061</v>
      </c>
      <c r="O57" s="158" t="s">
        <v>449</v>
      </c>
      <c r="P57" s="158" t="s">
        <v>1120</v>
      </c>
      <c r="Q57" s="158" t="s">
        <v>1268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615</v>
      </c>
      <c r="E58" s="158" t="s">
        <v>551</v>
      </c>
      <c r="F58" s="158" t="s">
        <v>526</v>
      </c>
      <c r="G58" s="158" t="s">
        <v>616</v>
      </c>
      <c r="H58" s="158" t="s">
        <v>616</v>
      </c>
      <c r="I58" s="158" t="s">
        <v>673</v>
      </c>
      <c r="J58" s="159" t="s">
        <v>821</v>
      </c>
      <c r="K58" s="158" t="s">
        <v>969</v>
      </c>
      <c r="L58" s="158" t="s">
        <v>616</v>
      </c>
      <c r="M58" s="158" t="s">
        <v>526</v>
      </c>
      <c r="N58" s="158" t="s">
        <v>1061</v>
      </c>
      <c r="O58" s="158" t="s">
        <v>425</v>
      </c>
      <c r="P58" s="158" t="s">
        <v>1121</v>
      </c>
      <c r="Q58" s="158" t="s">
        <v>1269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615</v>
      </c>
      <c r="E59" s="158" t="s">
        <v>551</v>
      </c>
      <c r="F59" s="158" t="s">
        <v>526</v>
      </c>
      <c r="G59" s="158" t="s">
        <v>616</v>
      </c>
      <c r="H59" s="158" t="s">
        <v>616</v>
      </c>
      <c r="I59" s="158" t="s">
        <v>674</v>
      </c>
      <c r="J59" s="159" t="s">
        <v>822</v>
      </c>
      <c r="K59" s="158" t="s">
        <v>970</v>
      </c>
      <c r="L59" s="158" t="s">
        <v>616</v>
      </c>
      <c r="M59" s="158" t="s">
        <v>526</v>
      </c>
      <c r="N59" s="158" t="s">
        <v>1061</v>
      </c>
      <c r="O59" s="158" t="s">
        <v>420</v>
      </c>
      <c r="P59" s="158" t="s">
        <v>1122</v>
      </c>
      <c r="Q59" s="158" t="s">
        <v>1270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615</v>
      </c>
      <c r="E60" s="158" t="s">
        <v>551</v>
      </c>
      <c r="F60" s="158" t="s">
        <v>526</v>
      </c>
      <c r="G60" s="158" t="s">
        <v>616</v>
      </c>
      <c r="H60" s="158" t="s">
        <v>616</v>
      </c>
      <c r="I60" s="158" t="s">
        <v>675</v>
      </c>
      <c r="J60" s="159" t="s">
        <v>823</v>
      </c>
      <c r="K60" s="158" t="s">
        <v>971</v>
      </c>
      <c r="L60" s="158" t="s">
        <v>616</v>
      </c>
      <c r="M60" s="158" t="s">
        <v>526</v>
      </c>
      <c r="N60" s="158" t="s">
        <v>1061</v>
      </c>
      <c r="O60" s="158" t="s">
        <v>466</v>
      </c>
      <c r="P60" s="158" t="s">
        <v>1123</v>
      </c>
      <c r="Q60" s="158" t="s">
        <v>1271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615</v>
      </c>
      <c r="E61" s="158" t="s">
        <v>551</v>
      </c>
      <c r="F61" s="158" t="s">
        <v>526</v>
      </c>
      <c r="G61" s="158" t="s">
        <v>616</v>
      </c>
      <c r="H61" s="158" t="s">
        <v>616</v>
      </c>
      <c r="I61" s="158" t="s">
        <v>676</v>
      </c>
      <c r="J61" s="159" t="s">
        <v>824</v>
      </c>
      <c r="K61" s="158" t="s">
        <v>972</v>
      </c>
      <c r="L61" s="158" t="s">
        <v>616</v>
      </c>
      <c r="M61" s="158" t="s">
        <v>526</v>
      </c>
      <c r="N61" s="158" t="s">
        <v>1061</v>
      </c>
      <c r="O61" s="158" t="s">
        <v>471</v>
      </c>
      <c r="P61" s="158" t="s">
        <v>1124</v>
      </c>
      <c r="Q61" s="158" t="s">
        <v>1272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615</v>
      </c>
      <c r="E62" s="158" t="s">
        <v>551</v>
      </c>
      <c r="F62" s="158" t="s">
        <v>526</v>
      </c>
      <c r="G62" s="158" t="s">
        <v>616</v>
      </c>
      <c r="H62" s="158" t="s">
        <v>616</v>
      </c>
      <c r="I62" s="158" t="s">
        <v>677</v>
      </c>
      <c r="J62" s="159" t="s">
        <v>825</v>
      </c>
      <c r="K62" s="158" t="s">
        <v>973</v>
      </c>
      <c r="L62" s="158" t="s">
        <v>616</v>
      </c>
      <c r="M62" s="158" t="s">
        <v>526</v>
      </c>
      <c r="N62" s="158" t="s">
        <v>1061</v>
      </c>
      <c r="O62" s="158" t="s">
        <v>412</v>
      </c>
      <c r="P62" s="158" t="s">
        <v>1125</v>
      </c>
      <c r="Q62" s="158" t="s">
        <v>1273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615</v>
      </c>
      <c r="E63" s="158" t="s">
        <v>551</v>
      </c>
      <c r="F63" s="158" t="s">
        <v>526</v>
      </c>
      <c r="G63" s="158" t="s">
        <v>616</v>
      </c>
      <c r="H63" s="158" t="s">
        <v>616</v>
      </c>
      <c r="I63" s="158" t="s">
        <v>678</v>
      </c>
      <c r="J63" s="159" t="s">
        <v>826</v>
      </c>
      <c r="K63" s="158" t="s">
        <v>974</v>
      </c>
      <c r="L63" s="158" t="s">
        <v>616</v>
      </c>
      <c r="M63" s="158" t="s">
        <v>526</v>
      </c>
      <c r="N63" s="158" t="s">
        <v>1061</v>
      </c>
      <c r="O63" s="158" t="s">
        <v>486</v>
      </c>
      <c r="P63" s="158" t="s">
        <v>1126</v>
      </c>
      <c r="Q63" s="158" t="s">
        <v>1274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615</v>
      </c>
      <c r="E64" s="158" t="s">
        <v>551</v>
      </c>
      <c r="F64" s="158" t="s">
        <v>526</v>
      </c>
      <c r="G64" s="158" t="s">
        <v>616</v>
      </c>
      <c r="H64" s="158" t="s">
        <v>616</v>
      </c>
      <c r="I64" s="158" t="s">
        <v>679</v>
      </c>
      <c r="J64" s="159" t="s">
        <v>827</v>
      </c>
      <c r="K64" s="158" t="s">
        <v>975</v>
      </c>
      <c r="L64" s="158" t="s">
        <v>616</v>
      </c>
      <c r="M64" s="158" t="s">
        <v>526</v>
      </c>
      <c r="N64" s="158" t="s">
        <v>1061</v>
      </c>
      <c r="O64" s="158" t="s">
        <v>402</v>
      </c>
      <c r="P64" s="158" t="s">
        <v>1127</v>
      </c>
      <c r="Q64" s="158" t="s">
        <v>1275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615</v>
      </c>
      <c r="E65" s="158" t="s">
        <v>551</v>
      </c>
      <c r="F65" s="158" t="s">
        <v>526</v>
      </c>
      <c r="G65" s="158" t="s">
        <v>616</v>
      </c>
      <c r="H65" s="158" t="s">
        <v>616</v>
      </c>
      <c r="I65" s="158" t="s">
        <v>680</v>
      </c>
      <c r="J65" s="159" t="s">
        <v>828</v>
      </c>
      <c r="K65" s="158" t="s">
        <v>976</v>
      </c>
      <c r="L65" s="158" t="s">
        <v>616</v>
      </c>
      <c r="M65" s="158" t="s">
        <v>526</v>
      </c>
      <c r="N65" s="158" t="s">
        <v>1061</v>
      </c>
      <c r="O65" s="158" t="s">
        <v>405</v>
      </c>
      <c r="P65" s="158" t="s">
        <v>1128</v>
      </c>
      <c r="Q65" s="158" t="s">
        <v>1276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615</v>
      </c>
      <c r="E66" s="158" t="s">
        <v>551</v>
      </c>
      <c r="F66" s="158" t="s">
        <v>526</v>
      </c>
      <c r="G66" s="158" t="s">
        <v>616</v>
      </c>
      <c r="H66" s="158" t="s">
        <v>616</v>
      </c>
      <c r="I66" s="158" t="s">
        <v>681</v>
      </c>
      <c r="J66" s="159" t="s">
        <v>829</v>
      </c>
      <c r="K66" s="158" t="s">
        <v>977</v>
      </c>
      <c r="L66" s="158" t="s">
        <v>616</v>
      </c>
      <c r="M66" s="158" t="s">
        <v>526</v>
      </c>
      <c r="N66" s="158" t="s">
        <v>1061</v>
      </c>
      <c r="O66" s="158" t="s">
        <v>488</v>
      </c>
      <c r="P66" s="158" t="s">
        <v>1129</v>
      </c>
      <c r="Q66" s="158" t="s">
        <v>1277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615</v>
      </c>
      <c r="E67" s="158" t="s">
        <v>551</v>
      </c>
      <c r="F67" s="158" t="s">
        <v>526</v>
      </c>
      <c r="G67" s="158" t="s">
        <v>616</v>
      </c>
      <c r="H67" s="158" t="s">
        <v>616</v>
      </c>
      <c r="I67" s="158" t="s">
        <v>682</v>
      </c>
      <c r="J67" s="159" t="s">
        <v>830</v>
      </c>
      <c r="K67" s="158" t="s">
        <v>978</v>
      </c>
      <c r="L67" s="158" t="s">
        <v>616</v>
      </c>
      <c r="M67" s="158" t="s">
        <v>526</v>
      </c>
      <c r="N67" s="158" t="s">
        <v>1061</v>
      </c>
      <c r="O67" s="158" t="s">
        <v>406</v>
      </c>
      <c r="P67" s="158" t="s">
        <v>1130</v>
      </c>
      <c r="Q67" s="158" t="s">
        <v>1278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615</v>
      </c>
      <c r="E68" s="158" t="s">
        <v>551</v>
      </c>
      <c r="F68" s="158" t="s">
        <v>526</v>
      </c>
      <c r="G68" s="158" t="s">
        <v>616</v>
      </c>
      <c r="H68" s="158" t="s">
        <v>616</v>
      </c>
      <c r="I68" s="158" t="s">
        <v>683</v>
      </c>
      <c r="J68" s="159" t="s">
        <v>831</v>
      </c>
      <c r="K68" s="158" t="s">
        <v>979</v>
      </c>
      <c r="L68" s="158" t="s">
        <v>616</v>
      </c>
      <c r="M68" s="158" t="s">
        <v>526</v>
      </c>
      <c r="N68" s="158" t="s">
        <v>1061</v>
      </c>
      <c r="O68" s="158" t="s">
        <v>408</v>
      </c>
      <c r="P68" s="158" t="s">
        <v>1131</v>
      </c>
      <c r="Q68" s="158" t="s">
        <v>1279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615</v>
      </c>
      <c r="E69" s="158" t="s">
        <v>551</v>
      </c>
      <c r="F69" s="158" t="s">
        <v>526</v>
      </c>
      <c r="G69" s="158" t="s">
        <v>616</v>
      </c>
      <c r="H69" s="158" t="s">
        <v>616</v>
      </c>
      <c r="I69" s="158" t="s">
        <v>684</v>
      </c>
      <c r="J69" s="159" t="s">
        <v>832</v>
      </c>
      <c r="K69" s="158" t="s">
        <v>980</v>
      </c>
      <c r="L69" s="158" t="s">
        <v>616</v>
      </c>
      <c r="M69" s="158" t="s">
        <v>526</v>
      </c>
      <c r="N69" s="158" t="s">
        <v>1061</v>
      </c>
      <c r="O69" s="158" t="s">
        <v>438</v>
      </c>
      <c r="P69" s="158" t="s">
        <v>1132</v>
      </c>
      <c r="Q69" s="158" t="s">
        <v>1280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615</v>
      </c>
      <c r="E70" s="158" t="s">
        <v>551</v>
      </c>
      <c r="F70" s="158" t="s">
        <v>526</v>
      </c>
      <c r="G70" s="158" t="s">
        <v>616</v>
      </c>
      <c r="H70" s="158" t="s">
        <v>616</v>
      </c>
      <c r="I70" s="158" t="s">
        <v>685</v>
      </c>
      <c r="J70" s="159" t="s">
        <v>833</v>
      </c>
      <c r="K70" s="158" t="s">
        <v>981</v>
      </c>
      <c r="L70" s="158" t="s">
        <v>616</v>
      </c>
      <c r="M70" s="158" t="s">
        <v>526</v>
      </c>
      <c r="N70" s="158" t="s">
        <v>1061</v>
      </c>
      <c r="O70" s="158" t="s">
        <v>502</v>
      </c>
      <c r="P70" s="158" t="s">
        <v>1133</v>
      </c>
      <c r="Q70" s="158" t="s">
        <v>1281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615</v>
      </c>
      <c r="E71" s="158" t="s">
        <v>551</v>
      </c>
      <c r="F71" s="158" t="s">
        <v>526</v>
      </c>
      <c r="G71" s="158" t="s">
        <v>616</v>
      </c>
      <c r="H71" s="158" t="s">
        <v>616</v>
      </c>
      <c r="I71" s="158" t="s">
        <v>686</v>
      </c>
      <c r="J71" s="159" t="s">
        <v>834</v>
      </c>
      <c r="K71" s="158" t="s">
        <v>982</v>
      </c>
      <c r="L71" s="158" t="s">
        <v>616</v>
      </c>
      <c r="M71" s="158" t="s">
        <v>526</v>
      </c>
      <c r="N71" s="158" t="s">
        <v>1061</v>
      </c>
      <c r="O71" s="158" t="s">
        <v>421</v>
      </c>
      <c r="P71" s="158" t="s">
        <v>1134</v>
      </c>
      <c r="Q71" s="158" t="s">
        <v>1282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615</v>
      </c>
      <c r="E72" s="158" t="s">
        <v>551</v>
      </c>
      <c r="F72" s="158" t="s">
        <v>526</v>
      </c>
      <c r="G72" s="158" t="s">
        <v>616</v>
      </c>
      <c r="H72" s="158" t="s">
        <v>616</v>
      </c>
      <c r="I72" s="158" t="s">
        <v>687</v>
      </c>
      <c r="J72" s="159" t="s">
        <v>835</v>
      </c>
      <c r="K72" s="158" t="s">
        <v>983</v>
      </c>
      <c r="L72" s="158" t="s">
        <v>616</v>
      </c>
      <c r="M72" s="158" t="s">
        <v>526</v>
      </c>
      <c r="N72" s="158" t="s">
        <v>1061</v>
      </c>
      <c r="O72" s="158" t="s">
        <v>492</v>
      </c>
      <c r="P72" s="158" t="s">
        <v>1135</v>
      </c>
      <c r="Q72" s="158" t="s">
        <v>1283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615</v>
      </c>
      <c r="E73" s="158" t="s">
        <v>551</v>
      </c>
      <c r="F73" s="158" t="s">
        <v>526</v>
      </c>
      <c r="G73" s="158" t="s">
        <v>616</v>
      </c>
      <c r="H73" s="158" t="s">
        <v>616</v>
      </c>
      <c r="I73" s="158" t="s">
        <v>688</v>
      </c>
      <c r="J73" s="159" t="s">
        <v>836</v>
      </c>
      <c r="K73" s="158" t="s">
        <v>984</v>
      </c>
      <c r="L73" s="158" t="s">
        <v>616</v>
      </c>
      <c r="M73" s="158" t="s">
        <v>526</v>
      </c>
      <c r="N73" s="158" t="s">
        <v>1061</v>
      </c>
      <c r="O73" s="158" t="s">
        <v>490</v>
      </c>
      <c r="P73" s="158" t="s">
        <v>1136</v>
      </c>
      <c r="Q73" s="158" t="s">
        <v>1284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615</v>
      </c>
      <c r="E74" s="158" t="s">
        <v>551</v>
      </c>
      <c r="F74" s="158" t="s">
        <v>526</v>
      </c>
      <c r="G74" s="158" t="s">
        <v>616</v>
      </c>
      <c r="H74" s="158" t="s">
        <v>616</v>
      </c>
      <c r="I74" s="158" t="s">
        <v>689</v>
      </c>
      <c r="J74" s="159" t="s">
        <v>837</v>
      </c>
      <c r="K74" s="158" t="s">
        <v>985</v>
      </c>
      <c r="L74" s="158" t="s">
        <v>616</v>
      </c>
      <c r="M74" s="158" t="s">
        <v>526</v>
      </c>
      <c r="N74" s="158" t="s">
        <v>1061</v>
      </c>
      <c r="O74" s="158" t="s">
        <v>387</v>
      </c>
      <c r="P74" s="158" t="s">
        <v>1137</v>
      </c>
      <c r="Q74" s="158" t="s">
        <v>1285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615</v>
      </c>
      <c r="E75" s="158" t="s">
        <v>551</v>
      </c>
      <c r="F75" s="158" t="s">
        <v>526</v>
      </c>
      <c r="G75" s="158" t="s">
        <v>616</v>
      </c>
      <c r="H75" s="158" t="s">
        <v>616</v>
      </c>
      <c r="I75" s="158" t="s">
        <v>690</v>
      </c>
      <c r="J75" s="159" t="s">
        <v>838</v>
      </c>
      <c r="K75" s="158" t="s">
        <v>986</v>
      </c>
      <c r="L75" s="158" t="s">
        <v>616</v>
      </c>
      <c r="M75" s="158" t="s">
        <v>526</v>
      </c>
      <c r="N75" s="158" t="s">
        <v>1061</v>
      </c>
      <c r="O75" s="158" t="s">
        <v>415</v>
      </c>
      <c r="P75" s="158" t="s">
        <v>1138</v>
      </c>
      <c r="Q75" s="158" t="s">
        <v>1286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615</v>
      </c>
      <c r="E76" s="158" t="s">
        <v>551</v>
      </c>
      <c r="F76" s="158" t="s">
        <v>526</v>
      </c>
      <c r="G76" s="158" t="s">
        <v>616</v>
      </c>
      <c r="H76" s="158" t="s">
        <v>616</v>
      </c>
      <c r="I76" s="158" t="s">
        <v>691</v>
      </c>
      <c r="J76" s="159" t="s">
        <v>839</v>
      </c>
      <c r="K76" s="158" t="s">
        <v>987</v>
      </c>
      <c r="L76" s="158" t="s">
        <v>616</v>
      </c>
      <c r="M76" s="158" t="s">
        <v>526</v>
      </c>
      <c r="N76" s="158" t="s">
        <v>1061</v>
      </c>
      <c r="O76" s="158" t="s">
        <v>448</v>
      </c>
      <c r="P76" s="158" t="s">
        <v>1139</v>
      </c>
      <c r="Q76" s="158" t="s">
        <v>1287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615</v>
      </c>
      <c r="E77" s="158" t="s">
        <v>551</v>
      </c>
      <c r="F77" s="158" t="s">
        <v>526</v>
      </c>
      <c r="G77" s="158" t="s">
        <v>616</v>
      </c>
      <c r="H77" s="158" t="s">
        <v>616</v>
      </c>
      <c r="I77" s="158" t="s">
        <v>692</v>
      </c>
      <c r="J77" s="159" t="s">
        <v>840</v>
      </c>
      <c r="K77" s="158" t="s">
        <v>988</v>
      </c>
      <c r="L77" s="158" t="s">
        <v>616</v>
      </c>
      <c r="M77" s="158" t="s">
        <v>526</v>
      </c>
      <c r="N77" s="158" t="s">
        <v>1061</v>
      </c>
      <c r="O77" s="158" t="s">
        <v>504</v>
      </c>
      <c r="P77" s="158" t="s">
        <v>1140</v>
      </c>
      <c r="Q77" s="158" t="s">
        <v>1288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615</v>
      </c>
      <c r="E78" s="158" t="s">
        <v>551</v>
      </c>
      <c r="F78" s="158" t="s">
        <v>526</v>
      </c>
      <c r="G78" s="158" t="s">
        <v>616</v>
      </c>
      <c r="H78" s="158" t="s">
        <v>616</v>
      </c>
      <c r="I78" s="158" t="s">
        <v>693</v>
      </c>
      <c r="J78" s="159" t="s">
        <v>841</v>
      </c>
      <c r="K78" s="158" t="s">
        <v>989</v>
      </c>
      <c r="L78" s="158" t="s">
        <v>616</v>
      </c>
      <c r="M78" s="158" t="s">
        <v>526</v>
      </c>
      <c r="N78" s="158" t="s">
        <v>1061</v>
      </c>
      <c r="O78" s="158" t="s">
        <v>462</v>
      </c>
      <c r="P78" s="158" t="s">
        <v>1141</v>
      </c>
      <c r="Q78" s="158" t="s">
        <v>1289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615</v>
      </c>
      <c r="E79" s="158" t="s">
        <v>551</v>
      </c>
      <c r="F79" s="158" t="s">
        <v>526</v>
      </c>
      <c r="G79" s="158" t="s">
        <v>616</v>
      </c>
      <c r="H79" s="158" t="s">
        <v>616</v>
      </c>
      <c r="I79" s="158" t="s">
        <v>694</v>
      </c>
      <c r="J79" s="159" t="s">
        <v>842</v>
      </c>
      <c r="K79" s="158" t="s">
        <v>990</v>
      </c>
      <c r="L79" s="158" t="s">
        <v>616</v>
      </c>
      <c r="M79" s="158" t="s">
        <v>526</v>
      </c>
      <c r="N79" s="158" t="s">
        <v>1061</v>
      </c>
      <c r="O79" s="158" t="s">
        <v>524</v>
      </c>
      <c r="P79" s="158" t="s">
        <v>1142</v>
      </c>
      <c r="Q79" s="158" t="s">
        <v>1290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615</v>
      </c>
      <c r="E80" s="158" t="s">
        <v>551</v>
      </c>
      <c r="F80" s="158" t="s">
        <v>526</v>
      </c>
      <c r="G80" s="158" t="s">
        <v>616</v>
      </c>
      <c r="H80" s="158" t="s">
        <v>616</v>
      </c>
      <c r="I80" s="158" t="s">
        <v>695</v>
      </c>
      <c r="J80" s="159" t="s">
        <v>843</v>
      </c>
      <c r="K80" s="158" t="s">
        <v>991</v>
      </c>
      <c r="L80" s="158" t="s">
        <v>616</v>
      </c>
      <c r="M80" s="158" t="s">
        <v>526</v>
      </c>
      <c r="N80" s="158" t="s">
        <v>1061</v>
      </c>
      <c r="O80" s="158" t="s">
        <v>444</v>
      </c>
      <c r="P80" s="158" t="s">
        <v>1143</v>
      </c>
      <c r="Q80" s="158" t="s">
        <v>1291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615</v>
      </c>
      <c r="E81" s="158" t="s">
        <v>551</v>
      </c>
      <c r="F81" s="158" t="s">
        <v>526</v>
      </c>
      <c r="G81" s="158" t="s">
        <v>616</v>
      </c>
      <c r="H81" s="158" t="s">
        <v>616</v>
      </c>
      <c r="I81" s="158" t="s">
        <v>696</v>
      </c>
      <c r="J81" s="159" t="s">
        <v>844</v>
      </c>
      <c r="K81" s="158" t="s">
        <v>992</v>
      </c>
      <c r="L81" s="158" t="s">
        <v>616</v>
      </c>
      <c r="M81" s="158" t="s">
        <v>526</v>
      </c>
      <c r="N81" s="158" t="s">
        <v>1061</v>
      </c>
      <c r="O81" s="158" t="s">
        <v>437</v>
      </c>
      <c r="P81" s="158" t="s">
        <v>1144</v>
      </c>
      <c r="Q81" s="158" t="s">
        <v>1292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615</v>
      </c>
      <c r="E82" s="158" t="s">
        <v>551</v>
      </c>
      <c r="F82" s="158" t="s">
        <v>526</v>
      </c>
      <c r="G82" s="158" t="s">
        <v>616</v>
      </c>
      <c r="H82" s="158" t="s">
        <v>616</v>
      </c>
      <c r="I82" s="158" t="s">
        <v>697</v>
      </c>
      <c r="J82" s="159" t="s">
        <v>845</v>
      </c>
      <c r="K82" s="158" t="s">
        <v>993</v>
      </c>
      <c r="L82" s="158" t="s">
        <v>616</v>
      </c>
      <c r="M82" s="158" t="s">
        <v>526</v>
      </c>
      <c r="N82" s="158" t="s">
        <v>1061</v>
      </c>
      <c r="O82" s="158" t="s">
        <v>510</v>
      </c>
      <c r="P82" s="158" t="s">
        <v>1145</v>
      </c>
      <c r="Q82" s="158" t="s">
        <v>1293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615</v>
      </c>
      <c r="E83" s="158" t="s">
        <v>551</v>
      </c>
      <c r="F83" s="158" t="s">
        <v>526</v>
      </c>
      <c r="G83" s="158" t="s">
        <v>616</v>
      </c>
      <c r="H83" s="158" t="s">
        <v>616</v>
      </c>
      <c r="I83" s="158" t="s">
        <v>698</v>
      </c>
      <c r="J83" s="159" t="s">
        <v>846</v>
      </c>
      <c r="K83" s="158" t="s">
        <v>994</v>
      </c>
      <c r="L83" s="158" t="s">
        <v>616</v>
      </c>
      <c r="M83" s="158" t="s">
        <v>526</v>
      </c>
      <c r="N83" s="158" t="s">
        <v>1061</v>
      </c>
      <c r="O83" s="158" t="s">
        <v>465</v>
      </c>
      <c r="P83" s="158" t="s">
        <v>1146</v>
      </c>
      <c r="Q83" s="158" t="s">
        <v>1294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615</v>
      </c>
      <c r="E84" s="158" t="s">
        <v>551</v>
      </c>
      <c r="F84" s="158" t="s">
        <v>526</v>
      </c>
      <c r="G84" s="158" t="s">
        <v>616</v>
      </c>
      <c r="H84" s="158" t="s">
        <v>616</v>
      </c>
      <c r="I84" s="158" t="s">
        <v>699</v>
      </c>
      <c r="J84" s="159" t="s">
        <v>847</v>
      </c>
      <c r="K84" s="158" t="s">
        <v>995</v>
      </c>
      <c r="L84" s="158" t="s">
        <v>616</v>
      </c>
      <c r="M84" s="158" t="s">
        <v>526</v>
      </c>
      <c r="N84" s="158" t="s">
        <v>1061</v>
      </c>
      <c r="O84" s="158" t="s">
        <v>503</v>
      </c>
      <c r="P84" s="158" t="s">
        <v>1147</v>
      </c>
      <c r="Q84" s="158" t="s">
        <v>1295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615</v>
      </c>
      <c r="E85" s="158" t="s">
        <v>551</v>
      </c>
      <c r="F85" s="158" t="s">
        <v>526</v>
      </c>
      <c r="G85" s="158" t="s">
        <v>616</v>
      </c>
      <c r="H85" s="158" t="s">
        <v>616</v>
      </c>
      <c r="I85" s="158" t="s">
        <v>700</v>
      </c>
      <c r="J85" s="159" t="s">
        <v>848</v>
      </c>
      <c r="K85" s="158" t="s">
        <v>996</v>
      </c>
      <c r="L85" s="158" t="s">
        <v>616</v>
      </c>
      <c r="M85" s="158" t="s">
        <v>526</v>
      </c>
      <c r="N85" s="158" t="s">
        <v>1061</v>
      </c>
      <c r="O85" s="158" t="s">
        <v>431</v>
      </c>
      <c r="P85" s="158" t="s">
        <v>1148</v>
      </c>
      <c r="Q85" s="158" t="s">
        <v>1296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615</v>
      </c>
      <c r="E86" s="158" t="s">
        <v>551</v>
      </c>
      <c r="F86" s="158" t="s">
        <v>526</v>
      </c>
      <c r="G86" s="158" t="s">
        <v>616</v>
      </c>
      <c r="H86" s="158" t="s">
        <v>616</v>
      </c>
      <c r="I86" s="158" t="s">
        <v>701</v>
      </c>
      <c r="J86" s="159" t="s">
        <v>849</v>
      </c>
      <c r="K86" s="158" t="s">
        <v>997</v>
      </c>
      <c r="L86" s="158" t="s">
        <v>616</v>
      </c>
      <c r="M86" s="158" t="s">
        <v>526</v>
      </c>
      <c r="N86" s="158" t="s">
        <v>1061</v>
      </c>
      <c r="O86" s="158" t="s">
        <v>1063</v>
      </c>
      <c r="P86" s="158" t="s">
        <v>1149</v>
      </c>
      <c r="Q86" s="158" t="s">
        <v>1297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615</v>
      </c>
      <c r="E87" s="158" t="s">
        <v>551</v>
      </c>
      <c r="F87" s="158" t="s">
        <v>526</v>
      </c>
      <c r="G87" s="158" t="s">
        <v>616</v>
      </c>
      <c r="H87" s="158" t="s">
        <v>616</v>
      </c>
      <c r="I87" s="158" t="s">
        <v>702</v>
      </c>
      <c r="J87" s="159" t="s">
        <v>850</v>
      </c>
      <c r="K87" s="158" t="s">
        <v>998</v>
      </c>
      <c r="L87" s="158" t="s">
        <v>616</v>
      </c>
      <c r="M87" s="158" t="s">
        <v>526</v>
      </c>
      <c r="N87" s="158" t="s">
        <v>1061</v>
      </c>
      <c r="O87" s="158" t="s">
        <v>393</v>
      </c>
      <c r="P87" s="158" t="s">
        <v>1150</v>
      </c>
      <c r="Q87" s="158" t="s">
        <v>1298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615</v>
      </c>
      <c r="E88" s="158" t="s">
        <v>551</v>
      </c>
      <c r="F88" s="158" t="s">
        <v>526</v>
      </c>
      <c r="G88" s="158" t="s">
        <v>616</v>
      </c>
      <c r="H88" s="158" t="s">
        <v>616</v>
      </c>
      <c r="I88" s="158" t="s">
        <v>703</v>
      </c>
      <c r="J88" s="159" t="s">
        <v>851</v>
      </c>
      <c r="K88" s="158" t="s">
        <v>999</v>
      </c>
      <c r="L88" s="158" t="s">
        <v>616</v>
      </c>
      <c r="M88" s="158" t="s">
        <v>526</v>
      </c>
      <c r="N88" s="158" t="s">
        <v>1061</v>
      </c>
      <c r="O88" s="158" t="s">
        <v>457</v>
      </c>
      <c r="P88" s="158" t="s">
        <v>1151</v>
      </c>
      <c r="Q88" s="158" t="s">
        <v>1299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615</v>
      </c>
      <c r="E89" s="158" t="s">
        <v>551</v>
      </c>
      <c r="F89" s="158" t="s">
        <v>526</v>
      </c>
      <c r="G89" s="158" t="s">
        <v>616</v>
      </c>
      <c r="H89" s="158" t="s">
        <v>616</v>
      </c>
      <c r="I89" s="158" t="s">
        <v>704</v>
      </c>
      <c r="J89" s="159" t="s">
        <v>852</v>
      </c>
      <c r="K89" s="158" t="s">
        <v>1000</v>
      </c>
      <c r="L89" s="158" t="s">
        <v>616</v>
      </c>
      <c r="M89" s="158" t="s">
        <v>526</v>
      </c>
      <c r="N89" s="158" t="s">
        <v>1061</v>
      </c>
      <c r="O89" s="158" t="s">
        <v>409</v>
      </c>
      <c r="P89" s="158" t="s">
        <v>1152</v>
      </c>
      <c r="Q89" s="158" t="s">
        <v>1257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615</v>
      </c>
      <c r="E90" s="158" t="s">
        <v>551</v>
      </c>
      <c r="F90" s="158" t="s">
        <v>526</v>
      </c>
      <c r="G90" s="158" t="s">
        <v>616</v>
      </c>
      <c r="H90" s="158" t="s">
        <v>616</v>
      </c>
      <c r="I90" s="158" t="s">
        <v>705</v>
      </c>
      <c r="J90" s="159" t="s">
        <v>853</v>
      </c>
      <c r="K90" s="158" t="s">
        <v>1001</v>
      </c>
      <c r="L90" s="158" t="s">
        <v>616</v>
      </c>
      <c r="M90" s="158" t="s">
        <v>526</v>
      </c>
      <c r="N90" s="158" t="s">
        <v>1061</v>
      </c>
      <c r="O90" s="158" t="s">
        <v>517</v>
      </c>
      <c r="P90" s="158" t="s">
        <v>1153</v>
      </c>
      <c r="Q90" s="158" t="s">
        <v>1300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615</v>
      </c>
      <c r="E91" s="158" t="s">
        <v>551</v>
      </c>
      <c r="F91" s="158" t="s">
        <v>526</v>
      </c>
      <c r="G91" s="158" t="s">
        <v>616</v>
      </c>
      <c r="H91" s="158" t="s">
        <v>616</v>
      </c>
      <c r="I91" s="158" t="s">
        <v>706</v>
      </c>
      <c r="J91" s="159" t="s">
        <v>854</v>
      </c>
      <c r="K91" s="158" t="s">
        <v>1002</v>
      </c>
      <c r="L91" s="158" t="s">
        <v>616</v>
      </c>
      <c r="M91" s="158" t="s">
        <v>526</v>
      </c>
      <c r="N91" s="158" t="s">
        <v>1061</v>
      </c>
      <c r="O91" s="158" t="s">
        <v>1064</v>
      </c>
      <c r="P91" s="158" t="s">
        <v>1154</v>
      </c>
      <c r="Q91" s="158" t="s">
        <v>1301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615</v>
      </c>
      <c r="E92" s="158" t="s">
        <v>551</v>
      </c>
      <c r="F92" s="158" t="s">
        <v>526</v>
      </c>
      <c r="G92" s="158" t="s">
        <v>616</v>
      </c>
      <c r="H92" s="158" t="s">
        <v>616</v>
      </c>
      <c r="I92" s="158" t="s">
        <v>707</v>
      </c>
      <c r="J92" s="159" t="s">
        <v>855</v>
      </c>
      <c r="K92" s="158" t="s">
        <v>1003</v>
      </c>
      <c r="L92" s="158" t="s">
        <v>616</v>
      </c>
      <c r="M92" s="158" t="s">
        <v>526</v>
      </c>
      <c r="N92" s="158" t="s">
        <v>1061</v>
      </c>
      <c r="O92" s="158" t="s">
        <v>417</v>
      </c>
      <c r="P92" s="158" t="s">
        <v>1155</v>
      </c>
      <c r="Q92" s="158" t="s">
        <v>1302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615</v>
      </c>
      <c r="E93" s="158" t="s">
        <v>551</v>
      </c>
      <c r="F93" s="158" t="s">
        <v>526</v>
      </c>
      <c r="G93" s="158" t="s">
        <v>616</v>
      </c>
      <c r="H93" s="158" t="s">
        <v>616</v>
      </c>
      <c r="I93" s="158" t="s">
        <v>708</v>
      </c>
      <c r="J93" s="159" t="s">
        <v>856</v>
      </c>
      <c r="K93" s="158" t="s">
        <v>1004</v>
      </c>
      <c r="L93" s="158" t="s">
        <v>616</v>
      </c>
      <c r="M93" s="158" t="s">
        <v>526</v>
      </c>
      <c r="N93" s="158" t="s">
        <v>1061</v>
      </c>
      <c r="O93" s="158" t="s">
        <v>458</v>
      </c>
      <c r="P93" s="158" t="s">
        <v>1156</v>
      </c>
      <c r="Q93" s="158" t="s">
        <v>1303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615</v>
      </c>
      <c r="E94" s="158" t="s">
        <v>551</v>
      </c>
      <c r="F94" s="158" t="s">
        <v>526</v>
      </c>
      <c r="G94" s="158" t="s">
        <v>616</v>
      </c>
      <c r="H94" s="158" t="s">
        <v>616</v>
      </c>
      <c r="I94" s="158" t="s">
        <v>709</v>
      </c>
      <c r="J94" s="159" t="s">
        <v>857</v>
      </c>
      <c r="K94" s="158" t="s">
        <v>1005</v>
      </c>
      <c r="L94" s="158" t="s">
        <v>616</v>
      </c>
      <c r="M94" s="158" t="s">
        <v>526</v>
      </c>
      <c r="N94" s="158" t="s">
        <v>1061</v>
      </c>
      <c r="O94" s="158" t="s">
        <v>416</v>
      </c>
      <c r="P94" s="158" t="s">
        <v>1157</v>
      </c>
      <c r="Q94" s="158" t="s">
        <v>1250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615</v>
      </c>
      <c r="E95" s="158" t="s">
        <v>551</v>
      </c>
      <c r="F95" s="158" t="s">
        <v>526</v>
      </c>
      <c r="G95" s="158" t="s">
        <v>616</v>
      </c>
      <c r="H95" s="158" t="s">
        <v>616</v>
      </c>
      <c r="I95" s="158" t="s">
        <v>710</v>
      </c>
      <c r="J95" s="159" t="s">
        <v>858</v>
      </c>
      <c r="K95" s="158" t="s">
        <v>1006</v>
      </c>
      <c r="L95" s="158" t="s">
        <v>616</v>
      </c>
      <c r="M95" s="158" t="s">
        <v>526</v>
      </c>
      <c r="N95" s="158" t="s">
        <v>1061</v>
      </c>
      <c r="O95" s="158" t="s">
        <v>398</v>
      </c>
      <c r="P95" s="158" t="s">
        <v>1158</v>
      </c>
      <c r="Q95" s="158" t="s">
        <v>1304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615</v>
      </c>
      <c r="E96" s="158" t="s">
        <v>551</v>
      </c>
      <c r="F96" s="158" t="s">
        <v>526</v>
      </c>
      <c r="G96" s="158" t="s">
        <v>616</v>
      </c>
      <c r="H96" s="158" t="s">
        <v>616</v>
      </c>
      <c r="I96" s="158" t="s">
        <v>711</v>
      </c>
      <c r="J96" s="159" t="s">
        <v>859</v>
      </c>
      <c r="K96" s="158" t="s">
        <v>1007</v>
      </c>
      <c r="L96" s="158" t="s">
        <v>616</v>
      </c>
      <c r="M96" s="158" t="s">
        <v>526</v>
      </c>
      <c r="N96" s="158" t="s">
        <v>1061</v>
      </c>
      <c r="O96" s="158" t="s">
        <v>463</v>
      </c>
      <c r="P96" s="158" t="s">
        <v>1159</v>
      </c>
      <c r="Q96" s="158" t="s">
        <v>1305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615</v>
      </c>
      <c r="E97" s="158" t="s">
        <v>551</v>
      </c>
      <c r="F97" s="158" t="s">
        <v>526</v>
      </c>
      <c r="G97" s="158" t="s">
        <v>616</v>
      </c>
      <c r="H97" s="158" t="s">
        <v>616</v>
      </c>
      <c r="I97" s="158" t="s">
        <v>712</v>
      </c>
      <c r="J97" s="159" t="s">
        <v>860</v>
      </c>
      <c r="K97" s="158" t="s">
        <v>1008</v>
      </c>
      <c r="L97" s="158" t="s">
        <v>616</v>
      </c>
      <c r="M97" s="158" t="s">
        <v>526</v>
      </c>
      <c r="N97" s="158" t="s">
        <v>1061</v>
      </c>
      <c r="O97" s="158" t="s">
        <v>480</v>
      </c>
      <c r="P97" s="158" t="s">
        <v>1160</v>
      </c>
      <c r="Q97" s="158" t="s">
        <v>1306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615</v>
      </c>
      <c r="E98" s="158" t="s">
        <v>551</v>
      </c>
      <c r="F98" s="158" t="s">
        <v>526</v>
      </c>
      <c r="G98" s="158" t="s">
        <v>616</v>
      </c>
      <c r="H98" s="158" t="s">
        <v>616</v>
      </c>
      <c r="I98" s="158" t="s">
        <v>713</v>
      </c>
      <c r="J98" s="159" t="s">
        <v>861</v>
      </c>
      <c r="K98" s="158" t="s">
        <v>1009</v>
      </c>
      <c r="L98" s="158" t="s">
        <v>616</v>
      </c>
      <c r="M98" s="158" t="s">
        <v>526</v>
      </c>
      <c r="N98" s="158" t="s">
        <v>1061</v>
      </c>
      <c r="O98" s="158" t="s">
        <v>511</v>
      </c>
      <c r="P98" s="158" t="s">
        <v>1161</v>
      </c>
      <c r="Q98" s="158" t="s">
        <v>1307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615</v>
      </c>
      <c r="E99" s="158" t="s">
        <v>551</v>
      </c>
      <c r="F99" s="158" t="s">
        <v>526</v>
      </c>
      <c r="G99" s="158" t="s">
        <v>616</v>
      </c>
      <c r="H99" s="158" t="s">
        <v>616</v>
      </c>
      <c r="I99" s="158" t="s">
        <v>714</v>
      </c>
      <c r="J99" s="159" t="s">
        <v>862</v>
      </c>
      <c r="K99" s="158" t="s">
        <v>1010</v>
      </c>
      <c r="L99" s="158" t="s">
        <v>616</v>
      </c>
      <c r="M99" s="158" t="s">
        <v>526</v>
      </c>
      <c r="N99" s="158" t="s">
        <v>1061</v>
      </c>
      <c r="O99" s="158" t="s">
        <v>522</v>
      </c>
      <c r="P99" s="158" t="s">
        <v>1162</v>
      </c>
      <c r="Q99" s="158" t="s">
        <v>1308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615</v>
      </c>
      <c r="E100" s="158" t="s">
        <v>551</v>
      </c>
      <c r="F100" s="158" t="s">
        <v>526</v>
      </c>
      <c r="G100" s="158" t="s">
        <v>616</v>
      </c>
      <c r="H100" s="158" t="s">
        <v>616</v>
      </c>
      <c r="I100" s="158" t="s">
        <v>715</v>
      </c>
      <c r="J100" s="159" t="s">
        <v>863</v>
      </c>
      <c r="K100" s="158" t="s">
        <v>1011</v>
      </c>
      <c r="L100" s="158" t="s">
        <v>616</v>
      </c>
      <c r="M100" s="158" t="s">
        <v>526</v>
      </c>
      <c r="N100" s="158" t="s">
        <v>1061</v>
      </c>
      <c r="O100" s="158" t="s">
        <v>491</v>
      </c>
      <c r="P100" s="158" t="s">
        <v>1163</v>
      </c>
      <c r="Q100" s="158" t="s">
        <v>1309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615</v>
      </c>
      <c r="E101" s="158" t="s">
        <v>551</v>
      </c>
      <c r="F101" s="158" t="s">
        <v>526</v>
      </c>
      <c r="G101" s="158" t="s">
        <v>616</v>
      </c>
      <c r="H101" s="158" t="s">
        <v>616</v>
      </c>
      <c r="I101" s="158" t="s">
        <v>716</v>
      </c>
      <c r="J101" s="159" t="s">
        <v>864</v>
      </c>
      <c r="K101" s="158" t="s">
        <v>1012</v>
      </c>
      <c r="L101" s="158" t="s">
        <v>616</v>
      </c>
      <c r="M101" s="158" t="s">
        <v>526</v>
      </c>
      <c r="N101" s="158" t="s">
        <v>1061</v>
      </c>
      <c r="O101" s="158" t="s">
        <v>445</v>
      </c>
      <c r="P101" s="158" t="s">
        <v>1164</v>
      </c>
      <c r="Q101" s="158" t="s">
        <v>1310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615</v>
      </c>
      <c r="E102" s="158" t="s">
        <v>551</v>
      </c>
      <c r="F102" s="158" t="s">
        <v>526</v>
      </c>
      <c r="G102" s="158" t="s">
        <v>616</v>
      </c>
      <c r="H102" s="158" t="s">
        <v>616</v>
      </c>
      <c r="I102" s="158" t="s">
        <v>717</v>
      </c>
      <c r="J102" s="159" t="s">
        <v>865</v>
      </c>
      <c r="K102" s="158" t="s">
        <v>1013</v>
      </c>
      <c r="L102" s="158" t="s">
        <v>616</v>
      </c>
      <c r="M102" s="158" t="s">
        <v>526</v>
      </c>
      <c r="N102" s="158" t="s">
        <v>1061</v>
      </c>
      <c r="O102" s="158" t="s">
        <v>477</v>
      </c>
      <c r="P102" s="158" t="s">
        <v>1165</v>
      </c>
      <c r="Q102" s="158" t="s">
        <v>1311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615</v>
      </c>
      <c r="E103" s="158" t="s">
        <v>551</v>
      </c>
      <c r="F103" s="158" t="s">
        <v>526</v>
      </c>
      <c r="G103" s="158" t="s">
        <v>616</v>
      </c>
      <c r="H103" s="158" t="s">
        <v>616</v>
      </c>
      <c r="I103" s="158" t="s">
        <v>718</v>
      </c>
      <c r="J103" s="159" t="s">
        <v>866</v>
      </c>
      <c r="K103" s="158" t="s">
        <v>1014</v>
      </c>
      <c r="L103" s="158" t="s">
        <v>616</v>
      </c>
      <c r="M103" s="158" t="s">
        <v>526</v>
      </c>
      <c r="N103" s="158" t="s">
        <v>1061</v>
      </c>
      <c r="O103" s="158" t="s">
        <v>388</v>
      </c>
      <c r="P103" s="158" t="s">
        <v>1166</v>
      </c>
      <c r="Q103" s="158" t="s">
        <v>1312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615</v>
      </c>
      <c r="E104" s="158" t="s">
        <v>551</v>
      </c>
      <c r="F104" s="158" t="s">
        <v>526</v>
      </c>
      <c r="G104" s="158" t="s">
        <v>616</v>
      </c>
      <c r="H104" s="158" t="s">
        <v>616</v>
      </c>
      <c r="I104" s="158" t="s">
        <v>719</v>
      </c>
      <c r="J104" s="159" t="s">
        <v>867</v>
      </c>
      <c r="K104" s="158" t="s">
        <v>1015</v>
      </c>
      <c r="L104" s="158" t="s">
        <v>616</v>
      </c>
      <c r="M104" s="158" t="s">
        <v>526</v>
      </c>
      <c r="N104" s="158" t="s">
        <v>1061</v>
      </c>
      <c r="O104" s="158" t="s">
        <v>453</v>
      </c>
      <c r="P104" s="158" t="s">
        <v>1167</v>
      </c>
      <c r="Q104" s="158" t="s">
        <v>1313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615</v>
      </c>
      <c r="E105" s="158" t="s">
        <v>551</v>
      </c>
      <c r="F105" s="158" t="s">
        <v>526</v>
      </c>
      <c r="G105" s="158" t="s">
        <v>616</v>
      </c>
      <c r="H105" s="158" t="s">
        <v>616</v>
      </c>
      <c r="I105" s="158" t="s">
        <v>720</v>
      </c>
      <c r="J105" s="159" t="s">
        <v>868</v>
      </c>
      <c r="K105" s="158" t="s">
        <v>1016</v>
      </c>
      <c r="L105" s="158" t="s">
        <v>616</v>
      </c>
      <c r="M105" s="158" t="s">
        <v>526</v>
      </c>
      <c r="N105" s="158" t="s">
        <v>1061</v>
      </c>
      <c r="O105" s="158" t="s">
        <v>481</v>
      </c>
      <c r="P105" s="158" t="s">
        <v>1168</v>
      </c>
      <c r="Q105" s="158" t="s">
        <v>1314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615</v>
      </c>
      <c r="E106" s="158" t="s">
        <v>551</v>
      </c>
      <c r="F106" s="158" t="s">
        <v>526</v>
      </c>
      <c r="G106" s="158" t="s">
        <v>616</v>
      </c>
      <c r="H106" s="158" t="s">
        <v>616</v>
      </c>
      <c r="I106" s="158" t="s">
        <v>721</v>
      </c>
      <c r="J106" s="159" t="s">
        <v>869</v>
      </c>
      <c r="K106" s="158" t="s">
        <v>1017</v>
      </c>
      <c r="L106" s="158" t="s">
        <v>616</v>
      </c>
      <c r="M106" s="158" t="s">
        <v>526</v>
      </c>
      <c r="N106" s="158" t="s">
        <v>1061</v>
      </c>
      <c r="O106" s="158" t="s">
        <v>394</v>
      </c>
      <c r="P106" s="158" t="s">
        <v>1169</v>
      </c>
      <c r="Q106" s="158" t="s">
        <v>1315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615</v>
      </c>
      <c r="E107" s="158" t="s">
        <v>551</v>
      </c>
      <c r="F107" s="158" t="s">
        <v>526</v>
      </c>
      <c r="G107" s="158" t="s">
        <v>616</v>
      </c>
      <c r="H107" s="158" t="s">
        <v>616</v>
      </c>
      <c r="I107" s="158" t="s">
        <v>722</v>
      </c>
      <c r="J107" s="159" t="s">
        <v>870</v>
      </c>
      <c r="K107" s="158" t="s">
        <v>1018</v>
      </c>
      <c r="L107" s="158" t="s">
        <v>616</v>
      </c>
      <c r="M107" s="158" t="s">
        <v>526</v>
      </c>
      <c r="N107" s="158" t="s">
        <v>1061</v>
      </c>
      <c r="O107" s="158" t="s">
        <v>483</v>
      </c>
      <c r="P107" s="158" t="s">
        <v>1170</v>
      </c>
      <c r="Q107" s="158" t="s">
        <v>1316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615</v>
      </c>
      <c r="E108" s="158" t="s">
        <v>551</v>
      </c>
      <c r="F108" s="158" t="s">
        <v>526</v>
      </c>
      <c r="G108" s="158" t="s">
        <v>616</v>
      </c>
      <c r="H108" s="158" t="s">
        <v>616</v>
      </c>
      <c r="I108" s="158" t="s">
        <v>723</v>
      </c>
      <c r="J108" s="159" t="s">
        <v>871</v>
      </c>
      <c r="K108" s="158" t="s">
        <v>1019</v>
      </c>
      <c r="L108" s="158" t="s">
        <v>616</v>
      </c>
      <c r="M108" s="158" t="s">
        <v>526</v>
      </c>
      <c r="N108" s="158" t="s">
        <v>1061</v>
      </c>
      <c r="O108" s="158" t="s">
        <v>389</v>
      </c>
      <c r="P108" s="158" t="s">
        <v>1171</v>
      </c>
      <c r="Q108" s="158" t="s">
        <v>1317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615</v>
      </c>
      <c r="E109" s="158" t="s">
        <v>551</v>
      </c>
      <c r="F109" s="158" t="s">
        <v>526</v>
      </c>
      <c r="G109" s="158" t="s">
        <v>616</v>
      </c>
      <c r="H109" s="158" t="s">
        <v>616</v>
      </c>
      <c r="I109" s="158" t="s">
        <v>724</v>
      </c>
      <c r="J109" s="159" t="s">
        <v>872</v>
      </c>
      <c r="K109" s="158" t="s">
        <v>1020</v>
      </c>
      <c r="L109" s="158" t="s">
        <v>616</v>
      </c>
      <c r="M109" s="158" t="s">
        <v>526</v>
      </c>
      <c r="N109" s="158" t="s">
        <v>1061</v>
      </c>
      <c r="O109" s="158" t="s">
        <v>403</v>
      </c>
      <c r="P109" s="158" t="s">
        <v>1172</v>
      </c>
      <c r="Q109" s="158" t="s">
        <v>1250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615</v>
      </c>
      <c r="E110" s="158" t="s">
        <v>551</v>
      </c>
      <c r="F110" s="158" t="s">
        <v>526</v>
      </c>
      <c r="G110" s="158" t="s">
        <v>616</v>
      </c>
      <c r="H110" s="158" t="s">
        <v>616</v>
      </c>
      <c r="I110" s="158" t="s">
        <v>725</v>
      </c>
      <c r="J110" s="159" t="s">
        <v>873</v>
      </c>
      <c r="K110" s="158" t="s">
        <v>1021</v>
      </c>
      <c r="L110" s="158" t="s">
        <v>616</v>
      </c>
      <c r="M110" s="158" t="s">
        <v>526</v>
      </c>
      <c r="N110" s="158" t="s">
        <v>1061</v>
      </c>
      <c r="O110" s="158" t="s">
        <v>454</v>
      </c>
      <c r="P110" s="158" t="s">
        <v>1173</v>
      </c>
      <c r="Q110" s="158" t="s">
        <v>1318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615</v>
      </c>
      <c r="E111" s="158" t="s">
        <v>551</v>
      </c>
      <c r="F111" s="158" t="s">
        <v>526</v>
      </c>
      <c r="G111" s="158" t="s">
        <v>616</v>
      </c>
      <c r="H111" s="158" t="s">
        <v>616</v>
      </c>
      <c r="I111" s="158" t="s">
        <v>726</v>
      </c>
      <c r="J111" s="159" t="s">
        <v>874</v>
      </c>
      <c r="K111" s="158" t="s">
        <v>1022</v>
      </c>
      <c r="L111" s="158" t="s">
        <v>616</v>
      </c>
      <c r="M111" s="158" t="s">
        <v>526</v>
      </c>
      <c r="N111" s="158" t="s">
        <v>1061</v>
      </c>
      <c r="O111" s="158" t="s">
        <v>386</v>
      </c>
      <c r="P111" s="158" t="s">
        <v>1174</v>
      </c>
      <c r="Q111" s="158" t="s">
        <v>1319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615</v>
      </c>
      <c r="E112" s="158" t="s">
        <v>551</v>
      </c>
      <c r="F112" s="158" t="s">
        <v>526</v>
      </c>
      <c r="G112" s="158" t="s">
        <v>616</v>
      </c>
      <c r="H112" s="158" t="s">
        <v>616</v>
      </c>
      <c r="I112" s="158" t="s">
        <v>727</v>
      </c>
      <c r="J112" s="159" t="s">
        <v>875</v>
      </c>
      <c r="K112" s="158" t="s">
        <v>1023</v>
      </c>
      <c r="L112" s="158" t="s">
        <v>616</v>
      </c>
      <c r="M112" s="158" t="s">
        <v>526</v>
      </c>
      <c r="N112" s="158" t="s">
        <v>1061</v>
      </c>
      <c r="O112" s="158" t="s">
        <v>451</v>
      </c>
      <c r="P112" s="158" t="s">
        <v>1175</v>
      </c>
      <c r="Q112" s="158" t="s">
        <v>1320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615</v>
      </c>
      <c r="E113" s="158" t="s">
        <v>551</v>
      </c>
      <c r="F113" s="158" t="s">
        <v>526</v>
      </c>
      <c r="G113" s="158" t="s">
        <v>616</v>
      </c>
      <c r="H113" s="158" t="s">
        <v>616</v>
      </c>
      <c r="I113" s="158" t="s">
        <v>728</v>
      </c>
      <c r="J113" s="159" t="s">
        <v>876</v>
      </c>
      <c r="K113" s="158" t="s">
        <v>1024</v>
      </c>
      <c r="L113" s="158" t="s">
        <v>616</v>
      </c>
      <c r="M113" s="158" t="s">
        <v>526</v>
      </c>
      <c r="N113" s="158" t="s">
        <v>1061</v>
      </c>
      <c r="O113" s="158" t="s">
        <v>419</v>
      </c>
      <c r="P113" s="158" t="s">
        <v>1176</v>
      </c>
      <c r="Q113" s="158" t="s">
        <v>1321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615</v>
      </c>
      <c r="E114" s="158" t="s">
        <v>551</v>
      </c>
      <c r="F114" s="158" t="s">
        <v>526</v>
      </c>
      <c r="G114" s="158" t="s">
        <v>616</v>
      </c>
      <c r="H114" s="158" t="s">
        <v>616</v>
      </c>
      <c r="I114" s="158" t="s">
        <v>729</v>
      </c>
      <c r="J114" s="159" t="s">
        <v>877</v>
      </c>
      <c r="K114" s="158" t="s">
        <v>1025</v>
      </c>
      <c r="L114" s="158" t="s">
        <v>616</v>
      </c>
      <c r="M114" s="158" t="s">
        <v>526</v>
      </c>
      <c r="N114" s="158" t="s">
        <v>1061</v>
      </c>
      <c r="O114" s="158" t="s">
        <v>489</v>
      </c>
      <c r="P114" s="158" t="s">
        <v>1177</v>
      </c>
      <c r="Q114" s="158" t="s">
        <v>1322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615</v>
      </c>
      <c r="E115" s="158" t="s">
        <v>551</v>
      </c>
      <c r="F115" s="158" t="s">
        <v>526</v>
      </c>
      <c r="G115" s="158" t="s">
        <v>616</v>
      </c>
      <c r="H115" s="158" t="s">
        <v>616</v>
      </c>
      <c r="I115" s="158" t="s">
        <v>730</v>
      </c>
      <c r="J115" s="159" t="s">
        <v>878</v>
      </c>
      <c r="K115" s="158" t="s">
        <v>1026</v>
      </c>
      <c r="L115" s="158" t="s">
        <v>616</v>
      </c>
      <c r="M115" s="158" t="s">
        <v>526</v>
      </c>
      <c r="N115" s="158" t="s">
        <v>1061</v>
      </c>
      <c r="O115" s="158" t="s">
        <v>397</v>
      </c>
      <c r="P115" s="158" t="s">
        <v>1178</v>
      </c>
      <c r="Q115" s="158" t="s">
        <v>1323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615</v>
      </c>
      <c r="E116" s="158" t="s">
        <v>551</v>
      </c>
      <c r="F116" s="158" t="s">
        <v>526</v>
      </c>
      <c r="G116" s="158" t="s">
        <v>616</v>
      </c>
      <c r="H116" s="158" t="s">
        <v>616</v>
      </c>
      <c r="I116" s="158" t="s">
        <v>731</v>
      </c>
      <c r="J116" s="159" t="s">
        <v>879</v>
      </c>
      <c r="K116" s="158" t="s">
        <v>1027</v>
      </c>
      <c r="L116" s="158" t="s">
        <v>616</v>
      </c>
      <c r="M116" s="158" t="s">
        <v>526</v>
      </c>
      <c r="N116" s="158" t="s">
        <v>1061</v>
      </c>
      <c r="O116" s="158" t="s">
        <v>392</v>
      </c>
      <c r="P116" s="158" t="s">
        <v>1179</v>
      </c>
      <c r="Q116" s="158" t="s">
        <v>1324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615</v>
      </c>
      <c r="E117" s="158" t="s">
        <v>551</v>
      </c>
      <c r="F117" s="158" t="s">
        <v>526</v>
      </c>
      <c r="G117" s="158" t="s">
        <v>616</v>
      </c>
      <c r="H117" s="158" t="s">
        <v>616</v>
      </c>
      <c r="I117" s="158" t="s">
        <v>732</v>
      </c>
      <c r="J117" s="159" t="s">
        <v>880</v>
      </c>
      <c r="K117" s="158" t="s">
        <v>1028</v>
      </c>
      <c r="L117" s="158" t="s">
        <v>616</v>
      </c>
      <c r="M117" s="158" t="s">
        <v>526</v>
      </c>
      <c r="N117" s="158" t="s">
        <v>1061</v>
      </c>
      <c r="O117" s="158" t="s">
        <v>401</v>
      </c>
      <c r="P117" s="158" t="s">
        <v>1180</v>
      </c>
      <c r="Q117" s="158" t="s">
        <v>1325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615</v>
      </c>
      <c r="E118" s="158" t="s">
        <v>551</v>
      </c>
      <c r="F118" s="158" t="s">
        <v>526</v>
      </c>
      <c r="G118" s="158" t="s">
        <v>616</v>
      </c>
      <c r="H118" s="158" t="s">
        <v>616</v>
      </c>
      <c r="I118" s="158" t="s">
        <v>733</v>
      </c>
      <c r="J118" s="159" t="s">
        <v>881</v>
      </c>
      <c r="K118" s="158" t="s">
        <v>1029</v>
      </c>
      <c r="L118" s="158" t="s">
        <v>616</v>
      </c>
      <c r="M118" s="158" t="s">
        <v>526</v>
      </c>
      <c r="N118" s="158" t="s">
        <v>1061</v>
      </c>
      <c r="O118" s="158" t="s">
        <v>436</v>
      </c>
      <c r="P118" s="158" t="s">
        <v>1181</v>
      </c>
      <c r="Q118" s="158" t="s">
        <v>1326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615</v>
      </c>
      <c r="E119" s="158" t="s">
        <v>551</v>
      </c>
      <c r="F119" s="158" t="s">
        <v>526</v>
      </c>
      <c r="G119" s="158" t="s">
        <v>616</v>
      </c>
      <c r="H119" s="158" t="s">
        <v>616</v>
      </c>
      <c r="I119" s="158" t="s">
        <v>734</v>
      </c>
      <c r="J119" s="159" t="s">
        <v>882</v>
      </c>
      <c r="K119" s="158" t="s">
        <v>1030</v>
      </c>
      <c r="L119" s="158" t="s">
        <v>616</v>
      </c>
      <c r="M119" s="158" t="s">
        <v>526</v>
      </c>
      <c r="N119" s="158" t="s">
        <v>1061</v>
      </c>
      <c r="O119" s="158" t="s">
        <v>432</v>
      </c>
      <c r="P119" s="158" t="s">
        <v>1182</v>
      </c>
      <c r="Q119" s="158" t="s">
        <v>1327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615</v>
      </c>
      <c r="E120" s="158" t="s">
        <v>551</v>
      </c>
      <c r="F120" s="158" t="s">
        <v>526</v>
      </c>
      <c r="G120" s="158" t="s">
        <v>616</v>
      </c>
      <c r="H120" s="158" t="s">
        <v>616</v>
      </c>
      <c r="I120" s="158" t="s">
        <v>735</v>
      </c>
      <c r="J120" s="159" t="s">
        <v>883</v>
      </c>
      <c r="K120" s="158" t="s">
        <v>1031</v>
      </c>
      <c r="L120" s="158" t="s">
        <v>616</v>
      </c>
      <c r="M120" s="158" t="s">
        <v>526</v>
      </c>
      <c r="N120" s="158" t="s">
        <v>1061</v>
      </c>
      <c r="O120" s="158" t="s">
        <v>507</v>
      </c>
      <c r="P120" s="158" t="s">
        <v>1183</v>
      </c>
      <c r="Q120" s="158" t="s">
        <v>1289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615</v>
      </c>
      <c r="E121" s="158" t="s">
        <v>551</v>
      </c>
      <c r="F121" s="158" t="s">
        <v>526</v>
      </c>
      <c r="G121" s="158" t="s">
        <v>616</v>
      </c>
      <c r="H121" s="158" t="s">
        <v>616</v>
      </c>
      <c r="I121" s="158" t="s">
        <v>736</v>
      </c>
      <c r="J121" s="159" t="s">
        <v>884</v>
      </c>
      <c r="K121" s="158" t="s">
        <v>1032</v>
      </c>
      <c r="L121" s="158" t="s">
        <v>616</v>
      </c>
      <c r="M121" s="158" t="s">
        <v>526</v>
      </c>
      <c r="N121" s="158" t="s">
        <v>1061</v>
      </c>
      <c r="O121" s="158" t="s">
        <v>518</v>
      </c>
      <c r="P121" s="158" t="s">
        <v>1184</v>
      </c>
      <c r="Q121" s="158" t="s">
        <v>1328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615</v>
      </c>
      <c r="E122" s="158" t="s">
        <v>551</v>
      </c>
      <c r="F122" s="158" t="s">
        <v>526</v>
      </c>
      <c r="G122" s="158" t="s">
        <v>616</v>
      </c>
      <c r="H122" s="158" t="s">
        <v>616</v>
      </c>
      <c r="I122" s="158" t="s">
        <v>737</v>
      </c>
      <c r="J122" s="159" t="s">
        <v>885</v>
      </c>
      <c r="K122" s="158" t="s">
        <v>1033</v>
      </c>
      <c r="L122" s="158" t="s">
        <v>616</v>
      </c>
      <c r="M122" s="158" t="s">
        <v>526</v>
      </c>
      <c r="N122" s="158" t="s">
        <v>1061</v>
      </c>
      <c r="O122" s="158" t="s">
        <v>413</v>
      </c>
      <c r="P122" s="158" t="s">
        <v>1185</v>
      </c>
      <c r="Q122" s="158" t="s">
        <v>1329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615</v>
      </c>
      <c r="E123" s="158" t="s">
        <v>551</v>
      </c>
      <c r="F123" s="158" t="s">
        <v>526</v>
      </c>
      <c r="G123" s="158" t="s">
        <v>616</v>
      </c>
      <c r="H123" s="158" t="s">
        <v>616</v>
      </c>
      <c r="I123" s="158" t="s">
        <v>738</v>
      </c>
      <c r="J123" s="159" t="s">
        <v>886</v>
      </c>
      <c r="K123" s="158" t="s">
        <v>1034</v>
      </c>
      <c r="L123" s="158" t="s">
        <v>616</v>
      </c>
      <c r="M123" s="158" t="s">
        <v>526</v>
      </c>
      <c r="N123" s="158" t="s">
        <v>1061</v>
      </c>
      <c r="O123" s="158" t="s">
        <v>447</v>
      </c>
      <c r="P123" s="158" t="s">
        <v>1186</v>
      </c>
      <c r="Q123" s="158" t="s">
        <v>1330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615</v>
      </c>
      <c r="E124" s="158" t="s">
        <v>551</v>
      </c>
      <c r="F124" s="158" t="s">
        <v>526</v>
      </c>
      <c r="G124" s="158" t="s">
        <v>616</v>
      </c>
      <c r="H124" s="158" t="s">
        <v>616</v>
      </c>
      <c r="I124" s="158" t="s">
        <v>739</v>
      </c>
      <c r="J124" s="159" t="s">
        <v>887</v>
      </c>
      <c r="K124" s="158" t="s">
        <v>1035</v>
      </c>
      <c r="L124" s="158" t="s">
        <v>616</v>
      </c>
      <c r="M124" s="158" t="s">
        <v>526</v>
      </c>
      <c r="N124" s="158" t="s">
        <v>1061</v>
      </c>
      <c r="O124" s="158" t="s">
        <v>499</v>
      </c>
      <c r="P124" s="158" t="s">
        <v>1187</v>
      </c>
      <c r="Q124" s="158" t="s">
        <v>1331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615</v>
      </c>
      <c r="E125" s="158" t="s">
        <v>551</v>
      </c>
      <c r="F125" s="158" t="s">
        <v>526</v>
      </c>
      <c r="G125" s="158" t="s">
        <v>616</v>
      </c>
      <c r="H125" s="158" t="s">
        <v>616</v>
      </c>
      <c r="I125" s="158" t="s">
        <v>740</v>
      </c>
      <c r="J125" s="159" t="s">
        <v>888</v>
      </c>
      <c r="K125" s="158" t="s">
        <v>1036</v>
      </c>
      <c r="L125" s="158" t="s">
        <v>616</v>
      </c>
      <c r="M125" s="158" t="s">
        <v>526</v>
      </c>
      <c r="N125" s="158" t="s">
        <v>1061</v>
      </c>
      <c r="O125" s="158" t="s">
        <v>513</v>
      </c>
      <c r="P125" s="158" t="s">
        <v>1188</v>
      </c>
      <c r="Q125" s="158" t="s">
        <v>1332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615</v>
      </c>
      <c r="E126" s="158" t="s">
        <v>551</v>
      </c>
      <c r="F126" s="158" t="s">
        <v>526</v>
      </c>
      <c r="G126" s="158" t="s">
        <v>616</v>
      </c>
      <c r="H126" s="158" t="s">
        <v>616</v>
      </c>
      <c r="I126" s="158" t="s">
        <v>741</v>
      </c>
      <c r="J126" s="159" t="s">
        <v>889</v>
      </c>
      <c r="K126" s="158" t="s">
        <v>1037</v>
      </c>
      <c r="L126" s="158" t="s">
        <v>616</v>
      </c>
      <c r="M126" s="158" t="s">
        <v>526</v>
      </c>
      <c r="N126" s="158" t="s">
        <v>1061</v>
      </c>
      <c r="O126" s="158" t="s">
        <v>464</v>
      </c>
      <c r="P126" s="158" t="s">
        <v>1189</v>
      </c>
      <c r="Q126" s="158" t="s">
        <v>1333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615</v>
      </c>
      <c r="E127" s="158" t="s">
        <v>551</v>
      </c>
      <c r="F127" s="158" t="s">
        <v>526</v>
      </c>
      <c r="G127" s="158" t="s">
        <v>616</v>
      </c>
      <c r="H127" s="158" t="s">
        <v>616</v>
      </c>
      <c r="I127" s="158" t="s">
        <v>742</v>
      </c>
      <c r="J127" s="159" t="s">
        <v>890</v>
      </c>
      <c r="K127" s="158" t="s">
        <v>1038</v>
      </c>
      <c r="L127" s="158" t="s">
        <v>616</v>
      </c>
      <c r="M127" s="158" t="s">
        <v>526</v>
      </c>
      <c r="N127" s="158" t="s">
        <v>1061</v>
      </c>
      <c r="O127" s="158" t="s">
        <v>384</v>
      </c>
      <c r="P127" s="158" t="s">
        <v>1190</v>
      </c>
      <c r="Q127" s="158" t="s">
        <v>1334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615</v>
      </c>
      <c r="E128" s="158" t="s">
        <v>551</v>
      </c>
      <c r="F128" s="158" t="s">
        <v>526</v>
      </c>
      <c r="G128" s="158" t="s">
        <v>616</v>
      </c>
      <c r="H128" s="158" t="s">
        <v>616</v>
      </c>
      <c r="I128" s="158" t="s">
        <v>743</v>
      </c>
      <c r="J128" s="159" t="s">
        <v>891</v>
      </c>
      <c r="K128" s="158" t="s">
        <v>1039</v>
      </c>
      <c r="L128" s="158" t="s">
        <v>616</v>
      </c>
      <c r="M128" s="158" t="s">
        <v>526</v>
      </c>
      <c r="N128" s="158" t="s">
        <v>1061</v>
      </c>
      <c r="O128" s="158" t="s">
        <v>476</v>
      </c>
      <c r="P128" s="158" t="s">
        <v>1191</v>
      </c>
      <c r="Q128" s="158" t="s">
        <v>1289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615</v>
      </c>
      <c r="E129" s="158" t="s">
        <v>551</v>
      </c>
      <c r="F129" s="158" t="s">
        <v>526</v>
      </c>
      <c r="G129" s="158" t="s">
        <v>616</v>
      </c>
      <c r="H129" s="158" t="s">
        <v>616</v>
      </c>
      <c r="I129" s="158" t="s">
        <v>744</v>
      </c>
      <c r="J129" s="159" t="s">
        <v>892</v>
      </c>
      <c r="K129" s="158" t="s">
        <v>1040</v>
      </c>
      <c r="L129" s="158" t="s">
        <v>616</v>
      </c>
      <c r="M129" s="158" t="s">
        <v>526</v>
      </c>
      <c r="N129" s="158" t="s">
        <v>1061</v>
      </c>
      <c r="O129" s="158" t="s">
        <v>506</v>
      </c>
      <c r="P129" s="158" t="s">
        <v>1192</v>
      </c>
      <c r="Q129" s="158" t="s">
        <v>1335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615</v>
      </c>
      <c r="E130" s="158" t="s">
        <v>551</v>
      </c>
      <c r="F130" s="158" t="s">
        <v>526</v>
      </c>
      <c r="G130" s="158" t="s">
        <v>616</v>
      </c>
      <c r="H130" s="158" t="s">
        <v>616</v>
      </c>
      <c r="I130" s="158" t="s">
        <v>745</v>
      </c>
      <c r="J130" s="159" t="s">
        <v>893</v>
      </c>
      <c r="K130" s="158" t="s">
        <v>1041</v>
      </c>
      <c r="L130" s="158" t="s">
        <v>616</v>
      </c>
      <c r="M130" s="158" t="s">
        <v>526</v>
      </c>
      <c r="N130" s="158" t="s">
        <v>1061</v>
      </c>
      <c r="O130" s="158" t="s">
        <v>426</v>
      </c>
      <c r="P130" s="158" t="s">
        <v>1193</v>
      </c>
      <c r="Q130" s="158" t="s">
        <v>1336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615</v>
      </c>
      <c r="E131" s="158" t="s">
        <v>551</v>
      </c>
      <c r="F131" s="158" t="s">
        <v>526</v>
      </c>
      <c r="G131" s="158" t="s">
        <v>616</v>
      </c>
      <c r="H131" s="158" t="s">
        <v>616</v>
      </c>
      <c r="I131" s="158" t="s">
        <v>746</v>
      </c>
      <c r="J131" s="159" t="s">
        <v>894</v>
      </c>
      <c r="K131" s="158" t="s">
        <v>1042</v>
      </c>
      <c r="L131" s="158" t="s">
        <v>616</v>
      </c>
      <c r="M131" s="158" t="s">
        <v>526</v>
      </c>
      <c r="N131" s="158" t="s">
        <v>1061</v>
      </c>
      <c r="O131" s="158" t="s">
        <v>523</v>
      </c>
      <c r="P131" s="158" t="s">
        <v>1194</v>
      </c>
      <c r="Q131" s="158" t="s">
        <v>1337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615</v>
      </c>
      <c r="E132" s="158" t="s">
        <v>551</v>
      </c>
      <c r="F132" s="158" t="s">
        <v>526</v>
      </c>
      <c r="G132" s="158" t="s">
        <v>616</v>
      </c>
      <c r="H132" s="158" t="s">
        <v>616</v>
      </c>
      <c r="I132" s="158" t="s">
        <v>747</v>
      </c>
      <c r="J132" s="159" t="s">
        <v>895</v>
      </c>
      <c r="K132" s="158" t="s">
        <v>1043</v>
      </c>
      <c r="L132" s="158" t="s">
        <v>616</v>
      </c>
      <c r="M132" s="158" t="s">
        <v>526</v>
      </c>
      <c r="N132" s="158" t="s">
        <v>1061</v>
      </c>
      <c r="O132" s="158" t="s">
        <v>443</v>
      </c>
      <c r="P132" s="158" t="s">
        <v>1195</v>
      </c>
      <c r="Q132" s="158" t="s">
        <v>1338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615</v>
      </c>
      <c r="E133" s="158" t="s">
        <v>551</v>
      </c>
      <c r="F133" s="158" t="s">
        <v>526</v>
      </c>
      <c r="G133" s="158" t="s">
        <v>616</v>
      </c>
      <c r="H133" s="158" t="s">
        <v>616</v>
      </c>
      <c r="I133" s="158" t="s">
        <v>748</v>
      </c>
      <c r="J133" s="159" t="s">
        <v>896</v>
      </c>
      <c r="K133" s="158" t="s">
        <v>1044</v>
      </c>
      <c r="L133" s="158" t="s">
        <v>616</v>
      </c>
      <c r="M133" s="158" t="s">
        <v>526</v>
      </c>
      <c r="N133" s="158" t="s">
        <v>1061</v>
      </c>
      <c r="O133" s="158" t="s">
        <v>498</v>
      </c>
      <c r="P133" s="158" t="s">
        <v>1196</v>
      </c>
      <c r="Q133" s="158" t="s">
        <v>1339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615</v>
      </c>
      <c r="E134" s="158" t="s">
        <v>551</v>
      </c>
      <c r="F134" s="158" t="s">
        <v>526</v>
      </c>
      <c r="G134" s="158" t="s">
        <v>616</v>
      </c>
      <c r="H134" s="158" t="s">
        <v>616</v>
      </c>
      <c r="I134" s="158" t="s">
        <v>749</v>
      </c>
      <c r="J134" s="159" t="s">
        <v>897</v>
      </c>
      <c r="K134" s="158" t="s">
        <v>1045</v>
      </c>
      <c r="L134" s="158" t="s">
        <v>616</v>
      </c>
      <c r="M134" s="158" t="s">
        <v>526</v>
      </c>
      <c r="N134" s="158" t="s">
        <v>1061</v>
      </c>
      <c r="O134" s="158" t="s">
        <v>485</v>
      </c>
      <c r="P134" s="158" t="s">
        <v>1197</v>
      </c>
      <c r="Q134" s="158" t="s">
        <v>1340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615</v>
      </c>
      <c r="E135" s="158" t="s">
        <v>551</v>
      </c>
      <c r="F135" s="158" t="s">
        <v>526</v>
      </c>
      <c r="G135" s="158" t="s">
        <v>616</v>
      </c>
      <c r="H135" s="158" t="s">
        <v>616</v>
      </c>
      <c r="I135" s="158" t="s">
        <v>750</v>
      </c>
      <c r="J135" s="159" t="s">
        <v>898</v>
      </c>
      <c r="K135" s="158" t="s">
        <v>1046</v>
      </c>
      <c r="L135" s="158" t="s">
        <v>616</v>
      </c>
      <c r="M135" s="158" t="s">
        <v>526</v>
      </c>
      <c r="N135" s="158" t="s">
        <v>1061</v>
      </c>
      <c r="O135" s="158" t="s">
        <v>520</v>
      </c>
      <c r="P135" s="158" t="s">
        <v>1198</v>
      </c>
      <c r="Q135" s="158" t="s">
        <v>1341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615</v>
      </c>
      <c r="E136" s="158" t="s">
        <v>551</v>
      </c>
      <c r="F136" s="158" t="s">
        <v>526</v>
      </c>
      <c r="G136" s="158" t="s">
        <v>616</v>
      </c>
      <c r="H136" s="158" t="s">
        <v>616</v>
      </c>
      <c r="I136" s="158" t="s">
        <v>751</v>
      </c>
      <c r="J136" s="159" t="s">
        <v>899</v>
      </c>
      <c r="K136" s="158" t="s">
        <v>1047</v>
      </c>
      <c r="L136" s="158" t="s">
        <v>616</v>
      </c>
      <c r="M136" s="158" t="s">
        <v>526</v>
      </c>
      <c r="N136" s="158" t="s">
        <v>1061</v>
      </c>
      <c r="O136" s="158" t="s">
        <v>427</v>
      </c>
      <c r="P136" s="158" t="s">
        <v>1199</v>
      </c>
      <c r="Q136" s="158" t="s">
        <v>1342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615</v>
      </c>
      <c r="E137" s="158" t="s">
        <v>551</v>
      </c>
      <c r="F137" s="158" t="s">
        <v>526</v>
      </c>
      <c r="G137" s="158" t="s">
        <v>616</v>
      </c>
      <c r="H137" s="158" t="s">
        <v>616</v>
      </c>
      <c r="I137" s="158" t="s">
        <v>752</v>
      </c>
      <c r="J137" s="159" t="s">
        <v>900</v>
      </c>
      <c r="K137" s="158" t="s">
        <v>1048</v>
      </c>
      <c r="L137" s="158" t="s">
        <v>616</v>
      </c>
      <c r="M137" s="158" t="s">
        <v>526</v>
      </c>
      <c r="N137" s="158" t="s">
        <v>1061</v>
      </c>
      <c r="O137" s="158" t="s">
        <v>495</v>
      </c>
      <c r="P137" s="158" t="s">
        <v>1200</v>
      </c>
      <c r="Q137" s="158" t="s">
        <v>1343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615</v>
      </c>
      <c r="E138" s="158" t="s">
        <v>551</v>
      </c>
      <c r="F138" s="158" t="s">
        <v>526</v>
      </c>
      <c r="G138" s="158" t="s">
        <v>616</v>
      </c>
      <c r="H138" s="158" t="s">
        <v>616</v>
      </c>
      <c r="I138" s="158" t="s">
        <v>753</v>
      </c>
      <c r="J138" s="159" t="s">
        <v>901</v>
      </c>
      <c r="K138" s="158" t="s">
        <v>1049</v>
      </c>
      <c r="L138" s="158" t="s">
        <v>616</v>
      </c>
      <c r="M138" s="158" t="s">
        <v>526</v>
      </c>
      <c r="N138" s="158" t="s">
        <v>1061</v>
      </c>
      <c r="O138" s="158" t="s">
        <v>418</v>
      </c>
      <c r="P138" s="158" t="s">
        <v>1201</v>
      </c>
      <c r="Q138" s="158" t="s">
        <v>1344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615</v>
      </c>
      <c r="E139" s="158" t="s">
        <v>551</v>
      </c>
      <c r="F139" s="158" t="s">
        <v>526</v>
      </c>
      <c r="G139" s="158" t="s">
        <v>616</v>
      </c>
      <c r="H139" s="158" t="s">
        <v>616</v>
      </c>
      <c r="I139" s="158" t="s">
        <v>754</v>
      </c>
      <c r="J139" s="159" t="s">
        <v>902</v>
      </c>
      <c r="K139" s="158" t="s">
        <v>1050</v>
      </c>
      <c r="L139" s="158" t="s">
        <v>616</v>
      </c>
      <c r="M139" s="158" t="s">
        <v>526</v>
      </c>
      <c r="N139" s="158" t="s">
        <v>1061</v>
      </c>
      <c r="O139" s="158" t="s">
        <v>468</v>
      </c>
      <c r="P139" s="158" t="s">
        <v>1202</v>
      </c>
      <c r="Q139" s="158" t="s">
        <v>1345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615</v>
      </c>
      <c r="E140" s="158" t="s">
        <v>551</v>
      </c>
      <c r="F140" s="158" t="s">
        <v>526</v>
      </c>
      <c r="G140" s="158" t="s">
        <v>616</v>
      </c>
      <c r="H140" s="158" t="s">
        <v>616</v>
      </c>
      <c r="I140" s="158" t="s">
        <v>755</v>
      </c>
      <c r="J140" s="159" t="s">
        <v>903</v>
      </c>
      <c r="K140" s="158" t="s">
        <v>1051</v>
      </c>
      <c r="L140" s="158" t="s">
        <v>616</v>
      </c>
      <c r="M140" s="158" t="s">
        <v>526</v>
      </c>
      <c r="N140" s="158" t="s">
        <v>1061</v>
      </c>
      <c r="O140" s="158" t="s">
        <v>456</v>
      </c>
      <c r="P140" s="158" t="s">
        <v>1203</v>
      </c>
      <c r="Q140" s="158" t="s">
        <v>1346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615</v>
      </c>
      <c r="E141" s="158" t="s">
        <v>551</v>
      </c>
      <c r="F141" s="158" t="s">
        <v>526</v>
      </c>
      <c r="G141" s="158" t="s">
        <v>616</v>
      </c>
      <c r="H141" s="158" t="s">
        <v>616</v>
      </c>
      <c r="I141" s="158" t="s">
        <v>756</v>
      </c>
      <c r="J141" s="159" t="s">
        <v>904</v>
      </c>
      <c r="K141" s="158" t="s">
        <v>1052</v>
      </c>
      <c r="L141" s="158" t="s">
        <v>616</v>
      </c>
      <c r="M141" s="158" t="s">
        <v>526</v>
      </c>
      <c r="N141" s="158" t="s">
        <v>1061</v>
      </c>
      <c r="O141" s="158" t="s">
        <v>470</v>
      </c>
      <c r="P141" s="158" t="s">
        <v>1204</v>
      </c>
      <c r="Q141" s="158" t="s">
        <v>1347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615</v>
      </c>
      <c r="E142" s="158" t="s">
        <v>551</v>
      </c>
      <c r="F142" s="158" t="s">
        <v>526</v>
      </c>
      <c r="G142" s="158" t="s">
        <v>616</v>
      </c>
      <c r="H142" s="158" t="s">
        <v>616</v>
      </c>
      <c r="I142" s="158" t="s">
        <v>757</v>
      </c>
      <c r="J142" s="159" t="s">
        <v>905</v>
      </c>
      <c r="K142" s="158" t="s">
        <v>1053</v>
      </c>
      <c r="L142" s="158" t="s">
        <v>616</v>
      </c>
      <c r="M142" s="158" t="s">
        <v>526</v>
      </c>
      <c r="N142" s="158" t="s">
        <v>1061</v>
      </c>
      <c r="O142" s="158" t="s">
        <v>514</v>
      </c>
      <c r="P142" s="158" t="s">
        <v>1205</v>
      </c>
      <c r="Q142" s="158" t="s">
        <v>1348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615</v>
      </c>
      <c r="E143" s="158" t="s">
        <v>551</v>
      </c>
      <c r="F143" s="158" t="s">
        <v>526</v>
      </c>
      <c r="G143" s="158" t="s">
        <v>616</v>
      </c>
      <c r="H143" s="158" t="s">
        <v>616</v>
      </c>
      <c r="I143" s="158" t="s">
        <v>758</v>
      </c>
      <c r="J143" s="159" t="s">
        <v>906</v>
      </c>
      <c r="K143" s="158" t="s">
        <v>1054</v>
      </c>
      <c r="L143" s="158" t="s">
        <v>616</v>
      </c>
      <c r="M143" s="158" t="s">
        <v>526</v>
      </c>
      <c r="N143" s="158" t="s">
        <v>1061</v>
      </c>
      <c r="O143" s="158" t="s">
        <v>515</v>
      </c>
      <c r="P143" s="158" t="s">
        <v>1206</v>
      </c>
      <c r="Q143" s="158" t="s">
        <v>1349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615</v>
      </c>
      <c r="E144" s="158" t="s">
        <v>551</v>
      </c>
      <c r="F144" s="158" t="s">
        <v>526</v>
      </c>
      <c r="G144" s="158" t="s">
        <v>616</v>
      </c>
      <c r="H144" s="158" t="s">
        <v>616</v>
      </c>
      <c r="I144" s="158" t="s">
        <v>759</v>
      </c>
      <c r="J144" s="159" t="s">
        <v>907</v>
      </c>
      <c r="K144" s="158" t="s">
        <v>1055</v>
      </c>
      <c r="L144" s="158" t="s">
        <v>616</v>
      </c>
      <c r="M144" s="158" t="s">
        <v>526</v>
      </c>
      <c r="N144" s="158" t="s">
        <v>1061</v>
      </c>
      <c r="O144" s="158" t="s">
        <v>446</v>
      </c>
      <c r="P144" s="158" t="s">
        <v>1207</v>
      </c>
      <c r="Q144" s="158" t="s">
        <v>1350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615</v>
      </c>
      <c r="E145" s="158" t="s">
        <v>551</v>
      </c>
      <c r="F145" s="158" t="s">
        <v>526</v>
      </c>
      <c r="G145" s="158" t="s">
        <v>616</v>
      </c>
      <c r="H145" s="158" t="s">
        <v>616</v>
      </c>
      <c r="I145" s="158" t="s">
        <v>760</v>
      </c>
      <c r="J145" s="159" t="s">
        <v>908</v>
      </c>
      <c r="K145" s="158" t="s">
        <v>1056</v>
      </c>
      <c r="L145" s="158" t="s">
        <v>616</v>
      </c>
      <c r="M145" s="158" t="s">
        <v>526</v>
      </c>
      <c r="N145" s="158" t="s">
        <v>1061</v>
      </c>
      <c r="O145" s="158" t="s">
        <v>278</v>
      </c>
      <c r="P145" s="158" t="s">
        <v>1208</v>
      </c>
      <c r="Q145" s="158" t="s">
        <v>1351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615</v>
      </c>
      <c r="E146" s="158" t="s">
        <v>551</v>
      </c>
      <c r="F146" s="158" t="s">
        <v>526</v>
      </c>
      <c r="G146" s="158" t="s">
        <v>616</v>
      </c>
      <c r="H146" s="158" t="s">
        <v>616</v>
      </c>
      <c r="I146" s="158" t="s">
        <v>761</v>
      </c>
      <c r="J146" s="159" t="s">
        <v>909</v>
      </c>
      <c r="K146" s="158" t="s">
        <v>1057</v>
      </c>
      <c r="L146" s="158" t="s">
        <v>616</v>
      </c>
      <c r="M146" s="158" t="s">
        <v>526</v>
      </c>
      <c r="N146" s="158" t="s">
        <v>1061</v>
      </c>
      <c r="O146" s="158" t="s">
        <v>399</v>
      </c>
      <c r="P146" s="158" t="s">
        <v>1209</v>
      </c>
      <c r="Q146" s="158" t="s">
        <v>1352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615</v>
      </c>
      <c r="E147" s="158" t="s">
        <v>551</v>
      </c>
      <c r="F147" s="158" t="s">
        <v>526</v>
      </c>
      <c r="G147" s="158" t="s">
        <v>616</v>
      </c>
      <c r="H147" s="158" t="s">
        <v>616</v>
      </c>
      <c r="I147" s="158" t="s">
        <v>762</v>
      </c>
      <c r="J147" s="159" t="s">
        <v>910</v>
      </c>
      <c r="K147" s="158" t="s">
        <v>1058</v>
      </c>
      <c r="L147" s="158" t="s">
        <v>616</v>
      </c>
      <c r="M147" s="158" t="s">
        <v>526</v>
      </c>
      <c r="N147" s="158" t="s">
        <v>1061</v>
      </c>
      <c r="O147" s="158" t="s">
        <v>527</v>
      </c>
      <c r="P147" s="158" t="s">
        <v>1210</v>
      </c>
      <c r="Q147" s="158" t="s">
        <v>1353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615</v>
      </c>
      <c r="E148" s="158" t="s">
        <v>551</v>
      </c>
      <c r="F148" s="158" t="s">
        <v>526</v>
      </c>
      <c r="G148" s="158" t="s">
        <v>616</v>
      </c>
      <c r="H148" s="158" t="s">
        <v>616</v>
      </c>
      <c r="I148" s="158" t="s">
        <v>763</v>
      </c>
      <c r="J148" s="159" t="s">
        <v>911</v>
      </c>
      <c r="K148" s="158" t="s">
        <v>1059</v>
      </c>
      <c r="L148" s="158" t="s">
        <v>616</v>
      </c>
      <c r="M148" s="158" t="s">
        <v>526</v>
      </c>
      <c r="N148" s="158" t="s">
        <v>1061</v>
      </c>
      <c r="O148" s="158" t="s">
        <v>525</v>
      </c>
      <c r="P148" s="158" t="s">
        <v>1211</v>
      </c>
      <c r="Q148" s="158" t="s">
        <v>1354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615</v>
      </c>
      <c r="E149" s="158" t="s">
        <v>551</v>
      </c>
      <c r="F149" s="158" t="s">
        <v>526</v>
      </c>
      <c r="G149" s="158" t="s">
        <v>616</v>
      </c>
      <c r="H149" s="158" t="s">
        <v>616</v>
      </c>
      <c r="I149" s="158" t="s">
        <v>764</v>
      </c>
      <c r="J149" s="159" t="s">
        <v>912</v>
      </c>
      <c r="K149" s="158" t="s">
        <v>1060</v>
      </c>
      <c r="L149" s="158" t="s">
        <v>616</v>
      </c>
      <c r="M149" s="158" t="s">
        <v>526</v>
      </c>
      <c r="N149" s="158" t="s">
        <v>1061</v>
      </c>
      <c r="O149" s="158" t="s">
        <v>400</v>
      </c>
      <c r="P149" s="158" t="s">
        <v>1212</v>
      </c>
      <c r="Q149" s="158" t="s">
        <v>1355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2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E7" sqref="E7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33" t="s">
        <v>32</v>
      </c>
      <c r="F5" s="234"/>
      <c r="G5" s="231" t="str">
        <f>VLOOKUP(J5,Drivers!$A$5:$B$41,2,0)</f>
        <v>Mack Gwatiringa</v>
      </c>
      <c r="H5" s="231"/>
      <c r="I5" s="232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9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9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9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9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-2135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9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9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33" t="s">
        <v>37</v>
      </c>
      <c r="F17" s="234"/>
      <c r="G17" s="235"/>
      <c r="H17" s="235"/>
      <c r="I17" s="236"/>
      <c r="J17" s="89">
        <v>4</v>
      </c>
      <c r="L17" s="228" t="s">
        <v>23</v>
      </c>
      <c r="M17" s="229"/>
      <c r="N17" s="229"/>
      <c r="O17" s="229"/>
      <c r="P17" s="230"/>
      <c r="R17" s="228" t="s">
        <v>24</v>
      </c>
      <c r="S17" s="229"/>
      <c r="T17" s="229"/>
      <c r="U17" s="229"/>
      <c r="V17" s="230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-19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-19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-19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76830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-37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389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515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515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452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452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452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515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-37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389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452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452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452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210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9</v>
      </c>
      <c r="R33" s="11"/>
      <c r="S33" s="9"/>
      <c r="T33" s="10">
        <v>40179</v>
      </c>
      <c r="U33" s="10">
        <v>43179</v>
      </c>
      <c r="V33" s="21">
        <f t="shared" ca="1" si="3"/>
        <v>9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P20:P37">
    <cfRule type="colorScale" priority="4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20:J37">
    <cfRule type="colorScale" priority="6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7:J15">
    <cfRule type="colorScale" priority="5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V20:V37">
    <cfRule type="colorScale" priority="3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E21:I37 E20:H20">
    <cfRule type="expression" dxfId="0" priority="2">
      <formula>$C20=2</formula>
    </cfRule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1361</v>
      </c>
    </row>
    <row r="8" spans="1:3" x14ac:dyDescent="0.35">
      <c r="A8">
        <v>2</v>
      </c>
      <c r="C8" s="156" t="s">
        <v>1362</v>
      </c>
    </row>
    <row r="9" spans="1:3" x14ac:dyDescent="0.35">
      <c r="A9">
        <v>3</v>
      </c>
      <c r="C9" s="156" t="s">
        <v>1366</v>
      </c>
    </row>
    <row r="10" spans="1:3" x14ac:dyDescent="0.35">
      <c r="A10">
        <v>4</v>
      </c>
      <c r="C10" s="156" t="s">
        <v>1367</v>
      </c>
    </row>
    <row r="11" spans="1:3" x14ac:dyDescent="0.35">
      <c r="A11">
        <v>5</v>
      </c>
      <c r="C11" s="156" t="s">
        <v>1368</v>
      </c>
    </row>
    <row r="12" spans="1:3" x14ac:dyDescent="0.35">
      <c r="A12">
        <v>6</v>
      </c>
      <c r="C12" s="156" t="s">
        <v>1369</v>
      </c>
    </row>
    <row r="13" spans="1:3" x14ac:dyDescent="0.35">
      <c r="A13">
        <v>7</v>
      </c>
      <c r="C13" s="156" t="s">
        <v>1370</v>
      </c>
    </row>
    <row r="14" spans="1:3" x14ac:dyDescent="0.35">
      <c r="A14">
        <v>8</v>
      </c>
      <c r="C14" s="156" t="s">
        <v>1371</v>
      </c>
    </row>
    <row r="15" spans="1:3" x14ac:dyDescent="0.35">
      <c r="A15">
        <v>9</v>
      </c>
      <c r="C15" s="156" t="s">
        <v>1372</v>
      </c>
    </row>
    <row r="16" spans="1:3" x14ac:dyDescent="0.35">
      <c r="A16">
        <v>10</v>
      </c>
      <c r="C16" s="156" t="s">
        <v>1373</v>
      </c>
    </row>
    <row r="17" spans="1:3" x14ac:dyDescent="0.35">
      <c r="A17">
        <v>11</v>
      </c>
      <c r="C17" s="156" t="s">
        <v>1374</v>
      </c>
    </row>
    <row r="18" spans="1:3" x14ac:dyDescent="0.35">
      <c r="A18">
        <v>12</v>
      </c>
      <c r="C18" s="156" t="s">
        <v>1375</v>
      </c>
    </row>
    <row r="19" spans="1:3" x14ac:dyDescent="0.35">
      <c r="A19">
        <v>13</v>
      </c>
      <c r="C19" s="156" t="s">
        <v>1376</v>
      </c>
    </row>
    <row r="20" spans="1:3" x14ac:dyDescent="0.35">
      <c r="A20">
        <v>14</v>
      </c>
      <c r="C20" s="156" t="s">
        <v>1377</v>
      </c>
    </row>
    <row r="21" spans="1:3" x14ac:dyDescent="0.35">
      <c r="A21">
        <v>15</v>
      </c>
      <c r="C21" s="156" t="s">
        <v>1378</v>
      </c>
    </row>
    <row r="22" spans="1:3" x14ac:dyDescent="0.35">
      <c r="A22">
        <v>16</v>
      </c>
      <c r="C22" s="156" t="s">
        <v>1379</v>
      </c>
    </row>
    <row r="23" spans="1:3" x14ac:dyDescent="0.35">
      <c r="A23">
        <v>17</v>
      </c>
      <c r="C23" s="156" t="s">
        <v>1380</v>
      </c>
    </row>
    <row r="24" spans="1:3" x14ac:dyDescent="0.35">
      <c r="A24">
        <v>18</v>
      </c>
      <c r="C24" s="156" t="s">
        <v>1381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70" t="s">
        <v>1389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Templates</vt:lpstr>
      <vt:lpstr>Dispatch Sheet</vt:lpstr>
      <vt:lpstr>Old Dispatch Sheet</vt:lpstr>
      <vt:lpstr>Exchange Rate</vt:lpstr>
      <vt:lpstr>Countries</vt:lpstr>
      <vt:lpstr>Dashboard</vt:lpstr>
      <vt:lpstr>Drivers</vt:lpstr>
      <vt:lpstr>Horses</vt:lpstr>
      <vt:lpstr>Trailers</vt:lpstr>
      <vt:lpstr>Inventory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2018-03-11T15:02:18Z</cp:lastPrinted>
  <dcterms:created xsi:type="dcterms:W3CDTF">2018-01-26T15:47:13Z</dcterms:created>
  <dcterms:modified xsi:type="dcterms:W3CDTF">2018-03-11T15:23:23Z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