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/>
  </bookViews>
  <sheets>
    <sheet name="Templates" sheetId="14" r:id="rId1"/>
    <sheet name="Dispatch Sheet" sheetId="13" r:id="rId2"/>
    <sheet name="South African Currencies" sheetId="16" r:id="rId3"/>
    <sheet name="Old Dispatch Sheet" sheetId="6" state="hidden" r:id="rId4"/>
    <sheet name="Exchange Rate" sheetId="12" state="hidden" r:id="rId5"/>
    <sheet name="Countries" sheetId="9" state="hidden" r:id="rId6"/>
    <sheet name="Dashboard" sheetId="1" r:id="rId7"/>
    <sheet name="Drivers" sheetId="3" r:id="rId8"/>
    <sheet name="Horses" sheetId="5" r:id="rId9"/>
    <sheet name="Trailers" sheetId="7" r:id="rId10"/>
    <sheet name="Inventory" sheetId="15" r:id="rId11"/>
  </sheets>
  <externalReferences>
    <externalReference r:id="rId12"/>
  </externalReferences>
  <definedNames>
    <definedName name="BillingCategoryTemplate">Templates!$A$12:$AV$16</definedName>
    <definedName name="NewPointTemplate">Templates!$A$11:$AV$17</definedName>
    <definedName name="point_1">Templates!$B$1:$AU$8</definedName>
    <definedName name="POINT_RANGE" localSheetId="0">Templates!$A$1:$AU$8</definedName>
    <definedName name="_xlnm.Print_Area" localSheetId="1">'Dispatch Sheet'!$G$2:$AS$60</definedName>
    <definedName name="_xlnm.Print_Area" localSheetId="3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7" i="13" l="1"/>
  <c r="D27" i="13"/>
  <c r="Y34" i="13"/>
  <c r="R20" i="13" l="1"/>
  <c r="Y15" i="14"/>
  <c r="AL49" i="13" l="1"/>
  <c r="Y49" i="13"/>
  <c r="L49" i="13"/>
  <c r="L5" i="14"/>
  <c r="Y5" i="14"/>
  <c r="AL5" i="14"/>
  <c r="AK1" i="14"/>
  <c r="W1" i="14"/>
  <c r="AG1" i="14" s="1"/>
  <c r="D5" i="14" l="1"/>
  <c r="AL53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<sst xmlns="http://schemas.openxmlformats.org/spreadsheetml/2006/main" count="3766" uniqueCount="1480">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</sst>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8"/>
      <color rgb="FFFF0000"/>
      <name val="Segoe UI"/>
      <family val="2"/>
    </font>
    <font>
      <sz val="11"/>
      <color rgb="FFFF000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306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5" fillId="4" borderId="0" xfId="0" applyFont="1" applyFill="1" applyBorder="1" applyAlignment="1">
      <alignment vertical="center"/>
    </xf>
    <xf numFmtId="0" fontId="0" fillId="0" borderId="0" xfId="0"/>
    <xf numFmtId="0" fontId="26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 indent="1"/>
    </xf>
    <xf numFmtId="0" fontId="0" fillId="0" borderId="0" xfId="0" applyBorder="1"/>
    <xf numFmtId="43" fontId="0" fillId="8" borderId="0" xfId="0" applyNumberFormat="1" applyFill="1"/>
    <xf numFmtId="0" fontId="0" fillId="4" borderId="0" xfId="0" applyFill="1" applyBorder="1"/>
    <xf numFmtId="0" fontId="23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right" vertical="center"/>
    </xf>
    <xf numFmtId="0" fontId="28" fillId="0" borderId="0" xfId="0" applyFont="1" applyBorder="1"/>
    <xf numFmtId="0" fontId="22" fillId="0" borderId="0" xfId="0" applyFont="1" applyFill="1" applyBorder="1" applyAlignment="1">
      <alignment horizontal="left" vertical="center"/>
    </xf>
    <xf numFmtId="0" fontId="30" fillId="0" borderId="0" xfId="0" applyFont="1" applyBorder="1"/>
    <xf numFmtId="0" fontId="30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0" fillId="4" borderId="0" xfId="0" applyFont="1" applyFill="1" applyBorder="1"/>
    <xf numFmtId="0" fontId="29" fillId="4" borderId="0" xfId="0" applyFont="1" applyFill="1" applyBorder="1" applyAlignment="1">
      <alignment horizontal="left" vertical="center" indent="1"/>
    </xf>
    <xf numFmtId="0" fontId="29" fillId="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right" vertical="center"/>
    </xf>
    <xf numFmtId="0" fontId="30" fillId="0" borderId="0" xfId="0" applyFont="1" applyFill="1" applyBorder="1"/>
    <xf numFmtId="0" fontId="30" fillId="11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30" fillId="0" borderId="0" xfId="0" applyFont="1"/>
    <xf numFmtId="43" fontId="31" fillId="0" borderId="0" xfId="0" applyNumberFormat="1" applyFont="1" applyBorder="1" applyAlignment="1">
      <alignment vertical="center"/>
    </xf>
    <xf numFmtId="0" fontId="31" fillId="0" borderId="0" xfId="0" applyFont="1" applyBorder="1"/>
    <xf numFmtId="0" fontId="31" fillId="0" borderId="0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43" fontId="31" fillId="0" borderId="0" xfId="0" applyNumberFormat="1" applyFont="1" applyBorder="1" applyAlignment="1">
      <alignment vertical="center"/>
    </xf>
    <xf numFmtId="0" fontId="31" fillId="0" borderId="52" xfId="0" applyFont="1" applyBorder="1"/>
    <xf numFmtId="0" fontId="33" fillId="13" borderId="72" xfId="0" applyFont="1" applyFill="1" applyBorder="1" applyAlignment="1">
      <alignment horizontal="center" vertical="center"/>
    </xf>
    <xf numFmtId="0" fontId="34" fillId="12" borderId="72" xfId="0" applyFont="1" applyFill="1" applyBorder="1" applyAlignment="1">
      <alignment vertical="center"/>
    </xf>
    <xf numFmtId="0" fontId="21" fillId="12" borderId="72" xfId="2" applyFill="1" applyBorder="1" applyAlignment="1">
      <alignment vertical="center"/>
    </xf>
    <xf numFmtId="0" fontId="35" fillId="12" borderId="72" xfId="0" applyFont="1" applyFill="1" applyBorder="1" applyAlignment="1">
      <alignment vertical="center"/>
    </xf>
    <xf numFmtId="0" fontId="30" fillId="4" borderId="56" xfId="0" applyFont="1" applyFill="1" applyBorder="1"/>
    <xf numFmtId="0" fontId="29" fillId="4" borderId="56" xfId="0" applyFont="1" applyFill="1" applyBorder="1" applyAlignment="1">
      <alignment horizontal="left" vertical="center" indent="1"/>
    </xf>
    <xf numFmtId="0" fontId="29" fillId="4" borderId="56" xfId="0" applyFont="1" applyFill="1" applyBorder="1" applyAlignment="1">
      <alignment horizontal="left" vertical="center"/>
    </xf>
    <xf numFmtId="0" fontId="29" fillId="4" borderId="56" xfId="0" applyFont="1" applyFill="1" applyBorder="1" applyAlignment="1">
      <alignment horizontal="right" vertical="center"/>
    </xf>
    <xf numFmtId="0" fontId="29" fillId="4" borderId="57" xfId="0" applyFont="1" applyFill="1" applyBorder="1" applyAlignment="1">
      <alignment horizontal="left" vertical="center" indent="1"/>
    </xf>
    <xf numFmtId="0" fontId="31" fillId="0" borderId="0" xfId="0" applyFont="1" applyAlignment="1">
      <alignment horizontal="left"/>
    </xf>
    <xf numFmtId="0" fontId="36" fillId="4" borderId="0" xfId="0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29" fillId="11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58" xfId="0" applyFont="1" applyFill="1" applyBorder="1" applyAlignment="1">
      <alignment horizontal="center" vertical="center"/>
    </xf>
    <xf numFmtId="0" fontId="29" fillId="0" borderId="59" xfId="0" applyFont="1" applyFill="1" applyBorder="1" applyAlignment="1">
      <alignment vertical="center"/>
    </xf>
    <xf numFmtId="0" fontId="31" fillId="0" borderId="0" xfId="0" applyFont="1" applyAlignment="1">
      <alignment horizontal="left" vertical="center"/>
    </xf>
    <xf numFmtId="43" fontId="37" fillId="8" borderId="0" xfId="0" applyNumberFormat="1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vertical="center"/>
    </xf>
    <xf numFmtId="43" fontId="32" fillId="0" borderId="0" xfId="0" applyNumberFormat="1" applyFont="1" applyFill="1" applyBorder="1" applyAlignment="1">
      <alignment horizontal="right" vertical="center"/>
    </xf>
    <xf numFmtId="43" fontId="31" fillId="0" borderId="0" xfId="0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left"/>
    </xf>
    <xf numFmtId="0" fontId="38" fillId="0" borderId="0" xfId="0" applyFont="1" applyBorder="1"/>
    <xf numFmtId="0" fontId="38" fillId="0" borderId="0" xfId="0" applyFont="1"/>
    <xf numFmtId="0" fontId="40" fillId="0" borderId="0" xfId="0" applyFont="1" applyFill="1"/>
    <xf numFmtId="0" fontId="39" fillId="0" borderId="0" xfId="0" applyFont="1" applyFill="1"/>
    <xf numFmtId="0" fontId="29" fillId="4" borderId="56" xfId="0" applyFont="1" applyFill="1" applyBorder="1" applyAlignment="1">
      <alignment horizontal="left" vertical="center"/>
    </xf>
    <xf numFmtId="0" fontId="31" fillId="0" borderId="0" xfId="0" applyFont="1" applyBorder="1" applyAlignment="1">
      <alignment vertical="center"/>
    </xf>
    <xf numFmtId="43" fontId="31" fillId="0" borderId="0" xfId="0" applyNumberFormat="1" applyFont="1" applyBorder="1" applyAlignment="1">
      <alignment vertical="center"/>
    </xf>
    <xf numFmtId="0" fontId="31" fillId="0" borderId="0" xfId="0" applyFont="1" applyFill="1" applyBorder="1" applyAlignment="1">
      <alignment horizontal="left" vertical="center"/>
    </xf>
    <xf numFmtId="43" fontId="32" fillId="0" borderId="0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1" fillId="0" borderId="68" xfId="0" applyNumberFormat="1" applyFont="1" applyBorder="1" applyAlignment="1">
      <alignment horizontal="right" vertical="center"/>
    </xf>
    <xf numFmtId="43" fontId="31" fillId="0" borderId="69" xfId="0" applyNumberFormat="1" applyFont="1" applyBorder="1" applyAlignment="1">
      <alignment vertical="center"/>
    </xf>
    <xf numFmtId="43" fontId="31" fillId="0" borderId="70" xfId="0" applyNumberFormat="1" applyFont="1" applyBorder="1" applyAlignment="1">
      <alignment vertical="center"/>
    </xf>
    <xf numFmtId="0" fontId="29" fillId="3" borderId="60" xfId="0" applyFont="1" applyFill="1" applyBorder="1" applyAlignment="1">
      <alignment vertical="center"/>
    </xf>
    <xf numFmtId="0" fontId="29" fillId="3" borderId="60" xfId="0" applyFont="1" applyFill="1" applyBorder="1" applyAlignment="1">
      <alignment horizontal="left" vertical="center"/>
    </xf>
    <xf numFmtId="0" fontId="29" fillId="3" borderId="61" xfId="0" applyFont="1" applyFill="1" applyBorder="1" applyAlignment="1">
      <alignment horizontal="left" vertical="center"/>
    </xf>
    <xf numFmtId="0" fontId="31" fillId="0" borderId="62" xfId="0" applyFont="1" applyFill="1" applyBorder="1" applyAlignment="1">
      <alignment horizontal="left" vertical="center"/>
    </xf>
    <xf numFmtId="0" fontId="31" fillId="0" borderId="63" xfId="0" applyFont="1" applyFill="1" applyBorder="1" applyAlignment="1">
      <alignment horizontal="left" vertical="center"/>
    </xf>
    <xf numFmtId="0" fontId="30" fillId="0" borderId="64" xfId="0" applyFont="1" applyBorder="1"/>
    <xf numFmtId="0" fontId="30" fillId="0" borderId="62" xfId="0" applyFont="1" applyBorder="1"/>
    <xf numFmtId="0" fontId="30" fillId="0" borderId="63" xfId="0" applyFont="1" applyBorder="1"/>
    <xf numFmtId="43" fontId="31" fillId="0" borderId="65" xfId="0" applyNumberFormat="1" applyFont="1" applyBorder="1" applyAlignment="1">
      <alignment horizontal="right" vertical="center"/>
    </xf>
    <xf numFmtId="43" fontId="31" fillId="0" borderId="65" xfId="0" applyNumberFormat="1" applyFont="1" applyBorder="1" applyAlignment="1">
      <alignment vertical="center"/>
    </xf>
    <xf numFmtId="43" fontId="31" fillId="0" borderId="66" xfId="0" applyNumberFormat="1" applyFont="1" applyBorder="1" applyAlignment="1">
      <alignment vertical="center"/>
    </xf>
    <xf numFmtId="0" fontId="29" fillId="4" borderId="55" xfId="0" applyFont="1" applyFill="1" applyBorder="1" applyAlignment="1">
      <alignment horizontal="left" vertical="center"/>
    </xf>
    <xf numFmtId="0" fontId="29" fillId="4" borderId="56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3" fillId="4" borderId="0" xfId="0" applyFont="1" applyFill="1" applyBorder="1" applyAlignment="1">
      <alignment vertical="center"/>
    </xf>
    <xf numFmtId="43" fontId="22" fillId="0" borderId="53" xfId="0" applyNumberFormat="1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/>
    </xf>
    <xf numFmtId="0" fontId="22" fillId="0" borderId="53" xfId="0" applyFont="1" applyFill="1" applyBorder="1" applyAlignment="1">
      <alignment horizontal="left" vertical="center"/>
    </xf>
    <xf numFmtId="43" fontId="22" fillId="0" borderId="49" xfId="0" applyNumberFormat="1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2" fillId="0" borderId="51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43" fontId="32" fillId="0" borderId="71" xfId="0" applyNumberFormat="1" applyFont="1" applyBorder="1" applyAlignment="1">
      <alignment horizontal="right" vertical="center"/>
    </xf>
    <xf numFmtId="0" fontId="31" fillId="0" borderId="53" xfId="0" applyFont="1" applyFill="1" applyBorder="1" applyAlignment="1">
      <alignment horizontal="left" vertical="center"/>
    </xf>
    <xf numFmtId="0" fontId="31" fillId="0" borderId="54" xfId="0" applyFont="1" applyFill="1" applyBorder="1" applyAlignment="1">
      <alignment horizontal="left" vertical="center"/>
    </xf>
    <xf numFmtId="43" fontId="31" fillId="0" borderId="53" xfId="0" applyNumberFormat="1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43" fontId="31" fillId="0" borderId="50" xfId="0" applyNumberFormat="1" applyFont="1" applyBorder="1" applyAlignment="1">
      <alignment vertical="center"/>
    </xf>
    <xf numFmtId="43" fontId="31" fillId="0" borderId="48" xfId="0" applyNumberFormat="1" applyFont="1" applyBorder="1"/>
    <xf numFmtId="0" fontId="31" fillId="0" borderId="48" xfId="0" applyFont="1" applyBorder="1"/>
    <xf numFmtId="43" fontId="31" fillId="0" borderId="0" xfId="0" applyNumberFormat="1" applyFont="1" applyBorder="1" applyAlignment="1">
      <alignment vertical="center"/>
    </xf>
    <xf numFmtId="43" fontId="22" fillId="0" borderId="50" xfId="0" applyNumberFormat="1" applyFont="1" applyBorder="1" applyAlignment="1">
      <alignment vertical="center"/>
    </xf>
    <xf numFmtId="43" fontId="31" fillId="0" borderId="48" xfId="0" applyNumberFormat="1" applyFont="1" applyBorder="1" applyAlignment="1">
      <alignment vertical="center"/>
    </xf>
    <xf numFmtId="0" fontId="31" fillId="0" borderId="0" xfId="0" applyFont="1" applyFill="1" applyBorder="1" applyAlignment="1">
      <alignment horizontal="left" vertical="center"/>
    </xf>
    <xf numFmtId="0" fontId="29" fillId="11" borderId="0" xfId="0" applyFont="1" applyFill="1" applyBorder="1" applyAlignment="1">
      <alignment vertical="center"/>
    </xf>
    <xf numFmtId="0" fontId="30" fillId="0" borderId="0" xfId="0" applyFont="1" applyBorder="1" applyAlignment="1">
      <alignment horizontal="center"/>
    </xf>
    <xf numFmtId="0" fontId="29" fillId="4" borderId="0" xfId="0" applyFont="1" applyFill="1" applyBorder="1" applyAlignment="1">
      <alignment horizontal="left" vertical="center" indent="1"/>
    </xf>
    <xf numFmtId="169" fontId="31" fillId="0" borderId="0" xfId="0" applyNumberFormat="1" applyFont="1" applyBorder="1" applyAlignment="1">
      <alignment horizontal="left" vertical="center"/>
    </xf>
    <xf numFmtId="0" fontId="31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43" fontId="27" fillId="10" borderId="0" xfId="0" applyNumberFormat="1" applyFont="1" applyFill="1" applyAlignment="1">
      <alignment horizontal="left" vertical="center"/>
    </xf>
    <xf numFmtId="0" fontId="27" fillId="10" borderId="0" xfId="0" applyFont="1" applyFill="1" applyBorder="1"/>
    <xf numFmtId="0" fontId="27" fillId="10" borderId="0" xfId="0" applyFont="1" applyFill="1"/>
    <xf numFmtId="43" fontId="27" fillId="10" borderId="0" xfId="0" applyNumberFormat="1" applyFont="1" applyFill="1"/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sel="0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0" val="1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0" val="3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9524</xdr:colOff>
      <xdr:row>1</xdr:row>
      <xdr:rowOff>19050</xdr:rowOff>
    </xdr:from>
    <xdr:to>
      <xdr:col>44</xdr:col>
      <xdr:colOff>165099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40</xdr:col>
      <xdr:colOff>158750</xdr:colOff>
      <xdr:row>40</xdr:row>
      <xdr:rowOff>25400</xdr:rowOff>
    </xdr:from>
    <xdr:to>
      <xdr:col>44</xdr:col>
      <xdr:colOff>153670</xdr:colOff>
      <xdr:row>41</xdr:row>
      <xdr:rowOff>41148</xdr:rowOff>
    </xdr:to>
    <xdr:sp macro="[0]!Add_Range" textlink="">
      <xdr:nvSpPr>
        <xdr:cNvPr id="3" name="Rectangle 2"/>
        <xdr:cNvSpPr/>
      </xdr:nvSpPr>
      <xdr:spPr>
        <a:xfrm>
          <a:off x="8153400" y="337820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28</xdr:col>
      <xdr:colOff>44450</xdr:colOff>
      <xdr:row>1</xdr:row>
      <xdr:rowOff>635000</xdr:rowOff>
    </xdr:from>
    <xdr:to>
      <xdr:col>34</xdr:col>
      <xdr:colOff>127000</xdr:colOff>
      <xdr:row>5</xdr:row>
      <xdr:rowOff>117348</xdr:rowOff>
    </xdr:to>
    <xdr:sp macro="" textlink="">
      <xdr:nvSpPr>
        <xdr:cNvPr id="4" name="popup1"/>
        <xdr:cNvSpPr/>
      </xdr:nvSpPr>
      <xdr:spPr>
        <a:xfrm>
          <a:off x="4292600" y="63500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drivers to the "Drivers"</a:t>
          </a:r>
          <a:r>
            <a:rPr lang="en-ZA" sz="900" baseline="0"/>
            <a:t> sheet then select the name here</a:t>
          </a:r>
          <a:endParaRPr lang="en-ZA" sz="900"/>
        </a:p>
      </xdr:txBody>
    </xdr:sp>
    <xdr:clientData/>
  </xdr:twoCellAnchor>
  <xdr:twoCellAnchor>
    <xdr:from>
      <xdr:col>41</xdr:col>
      <xdr:colOff>133350</xdr:colOff>
      <xdr:row>1</xdr:row>
      <xdr:rowOff>622300</xdr:rowOff>
    </xdr:from>
    <xdr:to>
      <xdr:col>48</xdr:col>
      <xdr:colOff>31750</xdr:colOff>
      <xdr:row>5</xdr:row>
      <xdr:rowOff>104648</xdr:rowOff>
    </xdr:to>
    <xdr:sp macro="" textlink="">
      <xdr:nvSpPr>
        <xdr:cNvPr id="20" name="popup2" hidden="1"/>
        <xdr:cNvSpPr/>
      </xdr:nvSpPr>
      <xdr:spPr>
        <a:xfrm>
          <a:off x="6775450" y="62230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horses</a:t>
          </a:r>
          <a:r>
            <a:rPr lang="en-ZA" sz="900" baseline="0"/>
            <a:t> to the "Horses" sheet and then select it here</a:t>
          </a:r>
          <a:endParaRPr lang="en-ZA" sz="900"/>
        </a:p>
      </xdr:txBody>
    </xdr:sp>
    <xdr:clientData/>
  </xdr:twoCellAnchor>
  <xdr:twoCellAnchor>
    <xdr:from>
      <xdr:col>45</xdr:col>
      <xdr:colOff>19050</xdr:colOff>
      <xdr:row>6</xdr:row>
      <xdr:rowOff>101600</xdr:rowOff>
    </xdr:from>
    <xdr:to>
      <xdr:col>51</xdr:col>
      <xdr:colOff>101600</xdr:colOff>
      <xdr:row>10</xdr:row>
      <xdr:rowOff>79248</xdr:rowOff>
    </xdr:to>
    <xdr:sp macro="" textlink="">
      <xdr:nvSpPr>
        <xdr:cNvPr id="21" name="popup3" hidden="1"/>
        <xdr:cNvSpPr/>
      </xdr:nvSpPr>
      <xdr:spPr>
        <a:xfrm>
          <a:off x="7397750" y="1390650"/>
          <a:ext cx="1187450" cy="612648"/>
        </a:xfrm>
        <a:prstGeom prst="wedgeRectCallout">
          <a:avLst>
            <a:gd name="adj1" fmla="val -55592"/>
            <a:gd name="adj2" fmla="val -23528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trailers to the "Trailers" sheet then select it</a:t>
          </a:r>
          <a:r>
            <a:rPr lang="en-ZA" sz="900" baseline="0"/>
            <a:t> here</a:t>
          </a:r>
          <a:endParaRPr lang="en-ZA" sz="900"/>
        </a:p>
      </xdr:txBody>
    </xdr:sp>
    <xdr:clientData/>
  </xdr:twoCellAnchor>
  <xdr:twoCellAnchor>
    <xdr:from>
      <xdr:col>9</xdr:col>
      <xdr:colOff>44450</xdr:colOff>
      <xdr:row>6</xdr:row>
      <xdr:rowOff>139700</xdr:rowOff>
    </xdr:from>
    <xdr:to>
      <xdr:col>15</xdr:col>
      <xdr:colOff>127000</xdr:colOff>
      <xdr:row>10</xdr:row>
      <xdr:rowOff>117348</xdr:rowOff>
    </xdr:to>
    <xdr:sp macro="" textlink="">
      <xdr:nvSpPr>
        <xdr:cNvPr id="23" name="popup4" hidden="1"/>
        <xdr:cNvSpPr/>
      </xdr:nvSpPr>
      <xdr:spPr>
        <a:xfrm>
          <a:off x="793750" y="142875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Select the country by clicking</a:t>
          </a:r>
          <a:r>
            <a:rPr lang="en-ZA" sz="900" baseline="0"/>
            <a:t> on this cell.  </a:t>
          </a:r>
          <a:endParaRPr lang="en-ZA" sz="900"/>
        </a:p>
      </xdr:txBody>
    </xdr:sp>
    <xdr:clientData/>
  </xdr:twoCellAnchor>
  <xdr:twoCellAnchor>
    <xdr:from>
      <xdr:col>20</xdr:col>
      <xdr:colOff>19050</xdr:colOff>
      <xdr:row>7</xdr:row>
      <xdr:rowOff>0</xdr:rowOff>
    </xdr:from>
    <xdr:to>
      <xdr:col>32</xdr:col>
      <xdr:colOff>152400</xdr:colOff>
      <xdr:row>10</xdr:row>
      <xdr:rowOff>117348</xdr:rowOff>
    </xdr:to>
    <xdr:sp macro="" textlink="">
      <xdr:nvSpPr>
        <xdr:cNvPr id="24" name="popup5" hidden="1"/>
        <xdr:cNvSpPr/>
      </xdr:nvSpPr>
      <xdr:spPr>
        <a:xfrm>
          <a:off x="2794000" y="1447800"/>
          <a:ext cx="2343150" cy="593598"/>
        </a:xfrm>
        <a:prstGeom prst="wedgeRectCallout">
          <a:avLst>
            <a:gd name="adj1" fmla="val -20488"/>
            <a:gd name="adj2" fmla="val 68031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The currency</a:t>
          </a:r>
          <a:r>
            <a:rPr lang="en-ZA" sz="900" baseline="0"/>
            <a:t> will be auto populated when a country is selected.  Do not type over this, it contains a formula!</a:t>
          </a:r>
          <a:endParaRPr lang="en-ZA" sz="900"/>
        </a:p>
      </xdr:txBody>
    </xdr:sp>
    <xdr:clientData/>
  </xdr:twoCellAnchor>
  <xdr:twoCellAnchor>
    <xdr:from>
      <xdr:col>33</xdr:col>
      <xdr:colOff>158750</xdr:colOff>
      <xdr:row>6</xdr:row>
      <xdr:rowOff>63500</xdr:rowOff>
    </xdr:from>
    <xdr:to>
      <xdr:col>44</xdr:col>
      <xdr:colOff>57150</xdr:colOff>
      <xdr:row>10</xdr:row>
      <xdr:rowOff>107950</xdr:rowOff>
    </xdr:to>
    <xdr:sp macro="" textlink="">
      <xdr:nvSpPr>
        <xdr:cNvPr id="25" name="popup6" hidden="1"/>
        <xdr:cNvSpPr/>
      </xdr:nvSpPr>
      <xdr:spPr>
        <a:xfrm>
          <a:off x="5327650" y="1352550"/>
          <a:ext cx="1924050" cy="679450"/>
        </a:xfrm>
        <a:prstGeom prst="wedgeRectCallout">
          <a:avLst>
            <a:gd name="adj1" fmla="val -20488"/>
            <a:gd name="adj2" fmla="val 68031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The current</a:t>
          </a:r>
          <a:r>
            <a:rPr lang="en-ZA" sz="900" baseline="0"/>
            <a:t> exchange rate will be displayed here depening on the country selected.  Do not type over this, it contains a formula!</a:t>
          </a:r>
          <a:endParaRPr lang="en-ZA" sz="900"/>
        </a:p>
      </xdr:txBody>
    </xdr:sp>
    <xdr:clientData/>
  </xdr:twoCellAnchor>
  <xdr:twoCellAnchor>
    <xdr:from>
      <xdr:col>7</xdr:col>
      <xdr:colOff>38100</xdr:colOff>
      <xdr:row>37</xdr:row>
      <xdr:rowOff>82550</xdr:rowOff>
    </xdr:from>
    <xdr:to>
      <xdr:col>13</xdr:col>
      <xdr:colOff>120650</xdr:colOff>
      <xdr:row>41</xdr:row>
      <xdr:rowOff>79248</xdr:rowOff>
    </xdr:to>
    <xdr:sp macro="" textlink="">
      <xdr:nvSpPr>
        <xdr:cNvPr id="26" name="popup9" hidden="1"/>
        <xdr:cNvSpPr/>
      </xdr:nvSpPr>
      <xdr:spPr>
        <a:xfrm>
          <a:off x="419100" y="2641600"/>
          <a:ext cx="1187450" cy="612648"/>
        </a:xfrm>
        <a:prstGeom prst="wedgeRectCallout">
          <a:avLst>
            <a:gd name="adj1" fmla="val -24042"/>
            <a:gd name="adj2" fmla="val -64988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items to the inventory sheet</a:t>
          </a:r>
          <a:r>
            <a:rPr lang="en-ZA" sz="900" baseline="0"/>
            <a:t> then select it here</a:t>
          </a:r>
          <a:endParaRPr lang="en-ZA" sz="900"/>
        </a:p>
      </xdr:txBody>
    </xdr:sp>
    <xdr:clientData/>
  </xdr:twoCellAnchor>
  <xdr:twoCellAnchor>
    <xdr:from>
      <xdr:col>16</xdr:col>
      <xdr:colOff>146050</xdr:colOff>
      <xdr:row>12</xdr:row>
      <xdr:rowOff>120650</xdr:rowOff>
    </xdr:from>
    <xdr:to>
      <xdr:col>23</xdr:col>
      <xdr:colOff>44450</xdr:colOff>
      <xdr:row>38</xdr:row>
      <xdr:rowOff>69850</xdr:rowOff>
    </xdr:to>
    <xdr:sp macro="" textlink="">
      <xdr:nvSpPr>
        <xdr:cNvPr id="27" name="popup10" hidden="1"/>
        <xdr:cNvSpPr/>
      </xdr:nvSpPr>
      <xdr:spPr>
        <a:xfrm>
          <a:off x="2184400" y="23622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43</xdr:col>
      <xdr:colOff>57150</xdr:colOff>
      <xdr:row>10</xdr:row>
      <xdr:rowOff>114300</xdr:rowOff>
    </xdr:from>
    <xdr:to>
      <xdr:col>52</xdr:col>
      <xdr:colOff>82550</xdr:colOff>
      <xdr:row>14</xdr:row>
      <xdr:rowOff>0</xdr:rowOff>
    </xdr:to>
    <xdr:sp macro="" textlink="">
      <xdr:nvSpPr>
        <xdr:cNvPr id="28" name="popup7" hidden="1"/>
        <xdr:cNvSpPr/>
      </xdr:nvSpPr>
      <xdr:spPr>
        <a:xfrm>
          <a:off x="7067550" y="2038350"/>
          <a:ext cx="1682750" cy="425450"/>
        </a:xfrm>
        <a:prstGeom prst="wedgeRectCallout">
          <a:avLst>
            <a:gd name="adj1" fmla="val -25647"/>
            <a:gd name="adj2" fmla="val 68883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Click the + to add another row.</a:t>
          </a:r>
          <a:r>
            <a:rPr lang="en-ZA" sz="900" baseline="0"/>
            <a:t>  Click the - to delete a row.</a:t>
          </a:r>
          <a:endParaRPr lang="en-ZA" sz="900"/>
        </a:p>
      </xdr:txBody>
    </xdr:sp>
    <xdr:clientData/>
  </xdr:twoCellAnchor>
  <xdr:twoCellAnchor>
    <xdr:from>
      <xdr:col>47</xdr:col>
      <xdr:colOff>76200</xdr:colOff>
      <xdr:row>14</xdr:row>
      <xdr:rowOff>0</xdr:rowOff>
    </xdr:from>
    <xdr:to>
      <xdr:col>56</xdr:col>
      <xdr:colOff>101600</xdr:colOff>
      <xdr:row>21</xdr:row>
      <xdr:rowOff>0</xdr:rowOff>
    </xdr:to>
    <xdr:sp macro="" textlink="">
      <xdr:nvSpPr>
        <xdr:cNvPr id="29" name="popup8" hidden="1"/>
        <xdr:cNvSpPr/>
      </xdr:nvSpPr>
      <xdr:spPr>
        <a:xfrm>
          <a:off x="7823200" y="2546350"/>
          <a:ext cx="1682750" cy="425450"/>
        </a:xfrm>
        <a:prstGeom prst="wedgeRectCallout">
          <a:avLst>
            <a:gd name="adj1" fmla="val -55458"/>
            <a:gd name="adj2" fmla="val -23654"/>
          </a:avLst>
        </a:prstGeom>
        <a:solidFill>
          <a:srgbClr val="E94747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 b="1">
              <a:solidFill>
                <a:schemeClr val="bg1"/>
              </a:solidFill>
            </a:rPr>
            <a:t>Don't delete the first line!!</a:t>
          </a:r>
        </a:p>
      </xdr:txBody>
    </xdr:sp>
    <xdr:clientData/>
  </xdr:twoCellAnchor>
  <xdr:twoCellAnchor>
    <xdr:from>
      <xdr:col>47</xdr:col>
      <xdr:colOff>114300</xdr:colOff>
      <xdr:row>1</xdr:row>
      <xdr:rowOff>527050</xdr:rowOff>
    </xdr:from>
    <xdr:to>
      <xdr:col>48</xdr:col>
      <xdr:colOff>113030</xdr:colOff>
      <xdr:row>2</xdr:row>
      <xdr:rowOff>55880</xdr:rowOff>
    </xdr:to>
    <xdr:sp macro="[0]!closepopup" textlink="">
      <xdr:nvSpPr>
        <xdr:cNvPr id="5" name="close2" hidden="1"/>
        <xdr:cNvSpPr/>
      </xdr:nvSpPr>
      <xdr:spPr>
        <a:xfrm rot="2700000">
          <a:off x="7861300" y="52705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34</xdr:col>
      <xdr:colOff>31749</xdr:colOff>
      <xdr:row>1</xdr:row>
      <xdr:rowOff>546100</xdr:rowOff>
    </xdr:from>
    <xdr:to>
      <xdr:col>35</xdr:col>
      <xdr:colOff>30479</xdr:colOff>
      <xdr:row>2</xdr:row>
      <xdr:rowOff>74930</xdr:rowOff>
    </xdr:to>
    <xdr:sp macro="[0]!closepopup" textlink="">
      <xdr:nvSpPr>
        <xdr:cNvPr id="22" name="close1"/>
        <xdr:cNvSpPr/>
      </xdr:nvSpPr>
      <xdr:spPr>
        <a:xfrm rot="2700000">
          <a:off x="5384799" y="54610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15</xdr:col>
      <xdr:colOff>25399</xdr:colOff>
      <xdr:row>6</xdr:row>
      <xdr:rowOff>50800</xdr:rowOff>
    </xdr:from>
    <xdr:to>
      <xdr:col>16</xdr:col>
      <xdr:colOff>24129</xdr:colOff>
      <xdr:row>7</xdr:row>
      <xdr:rowOff>74930</xdr:rowOff>
    </xdr:to>
    <xdr:sp macro="[0]!closepopup" textlink="">
      <xdr:nvSpPr>
        <xdr:cNvPr id="33" name="close4" hidden="1"/>
        <xdr:cNvSpPr/>
      </xdr:nvSpPr>
      <xdr:spPr>
        <a:xfrm rot="2700000">
          <a:off x="1879599" y="133985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32</xdr:col>
      <xdr:colOff>50799</xdr:colOff>
      <xdr:row>6</xdr:row>
      <xdr:rowOff>69851</xdr:rowOff>
    </xdr:from>
    <xdr:to>
      <xdr:col>33</xdr:col>
      <xdr:colOff>49529</xdr:colOff>
      <xdr:row>7</xdr:row>
      <xdr:rowOff>93981</xdr:rowOff>
    </xdr:to>
    <xdr:sp macro="[0]!closepopup" textlink="">
      <xdr:nvSpPr>
        <xdr:cNvPr id="34" name="close5" hidden="1"/>
        <xdr:cNvSpPr/>
      </xdr:nvSpPr>
      <xdr:spPr>
        <a:xfrm rot="2700000">
          <a:off x="5035549" y="1358901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43</xdr:col>
      <xdr:colOff>139699</xdr:colOff>
      <xdr:row>5</xdr:row>
      <xdr:rowOff>133352</xdr:rowOff>
    </xdr:from>
    <xdr:to>
      <xdr:col>44</xdr:col>
      <xdr:colOff>138429</xdr:colOff>
      <xdr:row>6</xdr:row>
      <xdr:rowOff>157482</xdr:rowOff>
    </xdr:to>
    <xdr:sp macro="[0]!closepopup" textlink="">
      <xdr:nvSpPr>
        <xdr:cNvPr id="35" name="close6" hidden="1"/>
        <xdr:cNvSpPr/>
      </xdr:nvSpPr>
      <xdr:spPr>
        <a:xfrm rot="2700000">
          <a:off x="7150099" y="12636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51</xdr:col>
      <xdr:colOff>6348</xdr:colOff>
      <xdr:row>6</xdr:row>
      <xdr:rowOff>12702</xdr:rowOff>
    </xdr:from>
    <xdr:to>
      <xdr:col>52</xdr:col>
      <xdr:colOff>5078</xdr:colOff>
      <xdr:row>7</xdr:row>
      <xdr:rowOff>36832</xdr:rowOff>
    </xdr:to>
    <xdr:sp macro="[0]!closepopup" textlink="">
      <xdr:nvSpPr>
        <xdr:cNvPr id="36" name="close3" hidden="1"/>
        <xdr:cNvSpPr/>
      </xdr:nvSpPr>
      <xdr:spPr>
        <a:xfrm rot="2700000">
          <a:off x="8489948" y="13017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22</xdr:col>
      <xdr:colOff>133348</xdr:colOff>
      <xdr:row>12</xdr:row>
      <xdr:rowOff>38102</xdr:rowOff>
    </xdr:from>
    <xdr:to>
      <xdr:col>23</xdr:col>
      <xdr:colOff>132078</xdr:colOff>
      <xdr:row>14</xdr:row>
      <xdr:rowOff>0</xdr:rowOff>
    </xdr:to>
    <xdr:sp macro="[0]!closepopup" textlink="">
      <xdr:nvSpPr>
        <xdr:cNvPr id="37" name="close10" hidden="1"/>
        <xdr:cNvSpPr/>
      </xdr:nvSpPr>
      <xdr:spPr>
        <a:xfrm rot="2700000">
          <a:off x="3276598" y="22796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51</xdr:col>
      <xdr:colOff>165098</xdr:colOff>
      <xdr:row>10</xdr:row>
      <xdr:rowOff>25402</xdr:rowOff>
    </xdr:from>
    <xdr:to>
      <xdr:col>52</xdr:col>
      <xdr:colOff>163828</xdr:colOff>
      <xdr:row>11</xdr:row>
      <xdr:rowOff>49532</xdr:rowOff>
    </xdr:to>
    <xdr:sp macro="[0]!closepopup" textlink="">
      <xdr:nvSpPr>
        <xdr:cNvPr id="38" name="close7" hidden="1"/>
        <xdr:cNvSpPr/>
      </xdr:nvSpPr>
      <xdr:spPr>
        <a:xfrm rot="2700000">
          <a:off x="8648698" y="19494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56</xdr:col>
      <xdr:colOff>6348</xdr:colOff>
      <xdr:row>14</xdr:row>
      <xdr:rowOff>0</xdr:rowOff>
    </xdr:from>
    <xdr:to>
      <xdr:col>57</xdr:col>
      <xdr:colOff>5078</xdr:colOff>
      <xdr:row>21</xdr:row>
      <xdr:rowOff>0</xdr:rowOff>
    </xdr:to>
    <xdr:sp macro="[0]!closepopup" textlink="">
      <xdr:nvSpPr>
        <xdr:cNvPr id="39" name="close8" hidden="1"/>
        <xdr:cNvSpPr/>
      </xdr:nvSpPr>
      <xdr:spPr>
        <a:xfrm rot="2700000">
          <a:off x="9410698" y="24574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50</xdr:col>
      <xdr:colOff>165100</xdr:colOff>
      <xdr:row>21</xdr:row>
      <xdr:rowOff>0</xdr:rowOff>
    </xdr:from>
    <xdr:to>
      <xdr:col>51</xdr:col>
      <xdr:colOff>163830</xdr:colOff>
      <xdr:row>21</xdr:row>
      <xdr:rowOff>0</xdr:rowOff>
    </xdr:to>
    <xdr:sp macro="[0]!closepopup" textlink="">
      <xdr:nvSpPr>
        <xdr:cNvPr id="41" name="close11" hidden="1"/>
        <xdr:cNvSpPr/>
      </xdr:nvSpPr>
      <xdr:spPr>
        <a:xfrm rot="2700000">
          <a:off x="8464550" y="320040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46</xdr:col>
      <xdr:colOff>158750</xdr:colOff>
      <xdr:row>1</xdr:row>
      <xdr:rowOff>133350</xdr:rowOff>
    </xdr:from>
    <xdr:to>
      <xdr:col>51</xdr:col>
      <xdr:colOff>152400</xdr:colOff>
      <xdr:row>1</xdr:row>
      <xdr:rowOff>406400</xdr:rowOff>
    </xdr:to>
    <xdr:sp macro="[0]!Oval5_Click" textlink="">
      <xdr:nvSpPr>
        <xdr:cNvPr id="6" name="buttonhelp"/>
        <xdr:cNvSpPr/>
      </xdr:nvSpPr>
      <xdr:spPr>
        <a:xfrm>
          <a:off x="7721600" y="133350"/>
          <a:ext cx="914400" cy="273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/>
            <a:t>Help</a:t>
          </a:r>
        </a:p>
      </xdr:txBody>
    </xdr:sp>
    <xdr:clientData fPrintsWithSheet="0"/>
  </xdr:twoCellAnchor>
  <xdr:twoCellAnchor>
    <xdr:from>
      <xdr:col>19</xdr:col>
      <xdr:colOff>146050</xdr:colOff>
      <xdr:row>12</xdr:row>
      <xdr:rowOff>120650</xdr:rowOff>
    </xdr:from>
    <xdr:to>
      <xdr:col>26</xdr:col>
      <xdr:colOff>44450</xdr:colOff>
      <xdr:row>19</xdr:row>
      <xdr:rowOff>69850</xdr:rowOff>
    </xdr:to>
    <xdr:sp macro="" textlink="">
      <xdr:nvSpPr>
        <xdr:cNvPr id="4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12</xdr:row>
      <xdr:rowOff>38102</xdr:rowOff>
    </xdr:from>
    <xdr:to>
      <xdr:col>26</xdr:col>
      <xdr:colOff>132078</xdr:colOff>
      <xdr:row>14</xdr:row>
      <xdr:rowOff>0</xdr:rowOff>
    </xdr:to>
    <xdr:sp macro="[1]!closepopup" textlink="">
      <xdr:nvSpPr>
        <xdr:cNvPr id="4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19</xdr:row>
      <xdr:rowOff>17782</xdr:rowOff>
    </xdr:to>
    <xdr:sp macro="[1]!closepopup" textlink="">
      <xdr:nvSpPr>
        <xdr:cNvPr id="5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5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3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19</xdr:row>
      <xdr:rowOff>17782</xdr:rowOff>
    </xdr:to>
    <xdr:sp macro="[1]!closepopup" textlink="">
      <xdr:nvSpPr>
        <xdr:cNvPr id="54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55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6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22</xdr:row>
      <xdr:rowOff>0</xdr:rowOff>
    </xdr:to>
    <xdr:sp macro="[1]!closepopup" textlink="">
      <xdr:nvSpPr>
        <xdr:cNvPr id="57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19</xdr:row>
      <xdr:rowOff>0</xdr:rowOff>
    </xdr:from>
    <xdr:to>
      <xdr:col>20</xdr:col>
      <xdr:colOff>163830</xdr:colOff>
      <xdr:row>19</xdr:row>
      <xdr:rowOff>68580</xdr:rowOff>
    </xdr:to>
    <xdr:sp macro="[1]!closepopup" textlink="">
      <xdr:nvSpPr>
        <xdr:cNvPr id="58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47" name="Rectangle 46"/>
        <xdr:cNvSpPr/>
      </xdr:nvSpPr>
      <xdr:spPr>
        <a:xfrm>
          <a:off x="801370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59" name="Rectangle 58"/>
        <xdr:cNvSpPr/>
      </xdr:nvSpPr>
      <xdr:spPr>
        <a:xfrm>
          <a:off x="801370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62" name="Rectangle 61"/>
        <xdr:cNvSpPr/>
      </xdr:nvSpPr>
      <xdr:spPr>
        <a:xfrm>
          <a:off x="819785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63" name="Rectangle 62"/>
        <xdr:cNvSpPr/>
      </xdr:nvSpPr>
      <xdr:spPr>
        <a:xfrm>
          <a:off x="8197850" y="22415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1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5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8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69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72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73" name="close11" hidden="1"/>
        <xdr:cNvSpPr/>
      </xdr:nvSpPr>
      <xdr:spPr>
        <a:xfrm rot="2700000">
          <a:off x="290766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86" name="close9" hidden="1"/>
        <xdr:cNvSpPr/>
      </xdr:nvSpPr>
      <xdr:spPr>
        <a:xfrm rot="2700000">
          <a:off x="2019297" y="2635251"/>
          <a:ext cx="335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87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88" name="close9" hidden="1"/>
        <xdr:cNvSpPr/>
      </xdr:nvSpPr>
      <xdr:spPr>
        <a:xfrm rot="2700000">
          <a:off x="2019297" y="2635251"/>
          <a:ext cx="335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89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0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1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4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5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6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297" name="close11" hidden="1"/>
        <xdr:cNvSpPr/>
      </xdr:nvSpPr>
      <xdr:spPr>
        <a:xfrm rot="2700000">
          <a:off x="2879090" y="24676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98" name="close9" hidden="1"/>
        <xdr:cNvSpPr/>
      </xdr:nvSpPr>
      <xdr:spPr>
        <a:xfrm rot="2700000">
          <a:off x="19399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299" name="close9" hidden="1"/>
        <xdr:cNvSpPr/>
      </xdr:nvSpPr>
      <xdr:spPr>
        <a:xfrm rot="2700000">
          <a:off x="19399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0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1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2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3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304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305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306" name="Rectangle 305"/>
        <xdr:cNvSpPr/>
      </xdr:nvSpPr>
      <xdr:spPr>
        <a:xfrm>
          <a:off x="741045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307" name="Rectangle 306"/>
        <xdr:cNvSpPr/>
      </xdr:nvSpPr>
      <xdr:spPr>
        <a:xfrm>
          <a:off x="759460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8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09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0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1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312" name="close9" hidden="1"/>
        <xdr:cNvSpPr/>
      </xdr:nvSpPr>
      <xdr:spPr>
        <a:xfrm rot="2700000">
          <a:off x="18605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313" name="close9" hidden="1"/>
        <xdr:cNvSpPr/>
      </xdr:nvSpPr>
      <xdr:spPr>
        <a:xfrm rot="2700000">
          <a:off x="18605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4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5" name="close11" hidden="1"/>
        <xdr:cNvSpPr/>
      </xdr:nvSpPr>
      <xdr:spPr>
        <a:xfrm rot="2700000">
          <a:off x="28124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6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17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18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19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320" name="Rectangle 319"/>
        <xdr:cNvSpPr/>
      </xdr:nvSpPr>
      <xdr:spPr>
        <a:xfrm>
          <a:off x="741045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321" name="Rectangle 320"/>
        <xdr:cNvSpPr/>
      </xdr:nvSpPr>
      <xdr:spPr>
        <a:xfrm>
          <a:off x="759460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2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3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4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0</xdr:rowOff>
    </xdr:to>
    <xdr:sp macro="[1]!closepopup" textlink="">
      <xdr:nvSpPr>
        <xdr:cNvPr id="325" name="close11" hidden="1"/>
        <xdr:cNvSpPr/>
      </xdr:nvSpPr>
      <xdr:spPr>
        <a:xfrm rot="2700000">
          <a:off x="2879090" y="26263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26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327" name="close11" hidden="1"/>
        <xdr:cNvSpPr/>
      </xdr:nvSpPr>
      <xdr:spPr>
        <a:xfrm rot="2700000">
          <a:off x="28124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32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33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3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483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484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85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86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68580</xdr:rowOff>
    </xdr:to>
    <xdr:sp macro="[1]!closepopup" textlink="">
      <xdr:nvSpPr>
        <xdr:cNvPr id="487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88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496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497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98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499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00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01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50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5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5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586" name="close9" hidden="1"/>
        <xdr:cNvSpPr/>
      </xdr:nvSpPr>
      <xdr:spPr>
        <a:xfrm rot="2700000">
          <a:off x="40481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587" name="close9" hidden="1"/>
        <xdr:cNvSpPr/>
      </xdr:nvSpPr>
      <xdr:spPr>
        <a:xfrm rot="2700000">
          <a:off x="4048122" y="2714626"/>
          <a:ext cx="4940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88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89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0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1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592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593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16</xdr:row>
      <xdr:rowOff>0</xdr:rowOff>
    </xdr:from>
    <xdr:to>
      <xdr:col>45</xdr:col>
      <xdr:colOff>182880</xdr:colOff>
      <xdr:row>16</xdr:row>
      <xdr:rowOff>152400</xdr:rowOff>
    </xdr:to>
    <xdr:sp macro="[0]!AddLineItem" textlink="">
      <xdr:nvSpPr>
        <xdr:cNvPr id="594" name="Rectangle 593"/>
        <xdr:cNvSpPr/>
      </xdr:nvSpPr>
      <xdr:spPr>
        <a:xfrm>
          <a:off x="951865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16</xdr:row>
      <xdr:rowOff>0</xdr:rowOff>
    </xdr:from>
    <xdr:to>
      <xdr:col>46</xdr:col>
      <xdr:colOff>182880</xdr:colOff>
      <xdr:row>16</xdr:row>
      <xdr:rowOff>152400</xdr:rowOff>
    </xdr:to>
    <xdr:sp macro="[0]!AddLineItem" textlink="">
      <xdr:nvSpPr>
        <xdr:cNvPr id="595" name="Rectangle 594"/>
        <xdr:cNvSpPr/>
      </xdr:nvSpPr>
      <xdr:spPr>
        <a:xfrm>
          <a:off x="9702800" y="27178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6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597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598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599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600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1]!closepopup" textlink="">
      <xdr:nvSpPr>
        <xdr:cNvPr id="601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56</xdr:col>
      <xdr:colOff>6348</xdr:colOff>
      <xdr:row>15</xdr:row>
      <xdr:rowOff>0</xdr:rowOff>
    </xdr:from>
    <xdr:to>
      <xdr:col>57</xdr:col>
      <xdr:colOff>5078</xdr:colOff>
      <xdr:row>22</xdr:row>
      <xdr:rowOff>0</xdr:rowOff>
    </xdr:to>
    <xdr:sp macro="[0]!closepopup" textlink="">
      <xdr:nvSpPr>
        <xdr:cNvPr id="602" name="close8" hidden="1"/>
        <xdr:cNvSpPr/>
      </xdr:nvSpPr>
      <xdr:spPr>
        <a:xfrm rot="2700000">
          <a:off x="11165838" y="2943860"/>
          <a:ext cx="95250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03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04" name="close9" hidden="1"/>
        <xdr:cNvSpPr/>
      </xdr:nvSpPr>
      <xdr:spPr>
        <a:xfrm rot="2700000">
          <a:off x="3968747" y="279400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5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6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7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08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0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1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1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2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3" name="close9" hidden="1"/>
        <xdr:cNvSpPr/>
      </xdr:nvSpPr>
      <xdr:spPr>
        <a:xfrm rot="2700000">
          <a:off x="3968747" y="295275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14" name="close9" hidden="1"/>
        <xdr:cNvSpPr/>
      </xdr:nvSpPr>
      <xdr:spPr>
        <a:xfrm rot="2700000">
          <a:off x="3968747" y="2952751"/>
          <a:ext cx="652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18</xdr:row>
      <xdr:rowOff>25400</xdr:rowOff>
    </xdr:from>
    <xdr:to>
      <xdr:col>20</xdr:col>
      <xdr:colOff>163830</xdr:colOff>
      <xdr:row>19</xdr:row>
      <xdr:rowOff>0</xdr:rowOff>
    </xdr:to>
    <xdr:sp macro="[1]!closepopup" textlink="">
      <xdr:nvSpPr>
        <xdr:cNvPr id="615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18</xdr:row>
      <xdr:rowOff>25400</xdr:rowOff>
    </xdr:from>
    <xdr:to>
      <xdr:col>20</xdr:col>
      <xdr:colOff>163830</xdr:colOff>
      <xdr:row>19</xdr:row>
      <xdr:rowOff>0</xdr:rowOff>
    </xdr:to>
    <xdr:sp macro="[1]!closepopup" textlink="">
      <xdr:nvSpPr>
        <xdr:cNvPr id="616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18</xdr:row>
      <xdr:rowOff>0</xdr:rowOff>
    </xdr:from>
    <xdr:to>
      <xdr:col>45</xdr:col>
      <xdr:colOff>182880</xdr:colOff>
      <xdr:row>18</xdr:row>
      <xdr:rowOff>152400</xdr:rowOff>
    </xdr:to>
    <xdr:sp macro="[0]!AddLineItem" textlink="">
      <xdr:nvSpPr>
        <xdr:cNvPr id="617" name="Rectangle 616"/>
        <xdr:cNvSpPr/>
      </xdr:nvSpPr>
      <xdr:spPr>
        <a:xfrm>
          <a:off x="951865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18</xdr:row>
      <xdr:rowOff>0</xdr:rowOff>
    </xdr:from>
    <xdr:to>
      <xdr:col>46</xdr:col>
      <xdr:colOff>182880</xdr:colOff>
      <xdr:row>18</xdr:row>
      <xdr:rowOff>152400</xdr:rowOff>
    </xdr:to>
    <xdr:sp macro="[0]!AddLineItem" textlink="">
      <xdr:nvSpPr>
        <xdr:cNvPr id="618" name="Rectangle 617"/>
        <xdr:cNvSpPr/>
      </xdr:nvSpPr>
      <xdr:spPr>
        <a:xfrm>
          <a:off x="970280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1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1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2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23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20</xdr:row>
      <xdr:rowOff>17782</xdr:rowOff>
    </xdr:to>
    <xdr:sp macro="[1]!closepopup" textlink="">
      <xdr:nvSpPr>
        <xdr:cNvPr id="624" name="close9" hidden="1"/>
        <xdr:cNvSpPr/>
      </xdr:nvSpPr>
      <xdr:spPr>
        <a:xfrm rot="2700000">
          <a:off x="3889372" y="2873376"/>
          <a:ext cx="811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5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6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7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28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2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31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21</xdr:row>
      <xdr:rowOff>17782</xdr:rowOff>
    </xdr:to>
    <xdr:sp macro="[1]!closepopup" textlink="">
      <xdr:nvSpPr>
        <xdr:cNvPr id="632" name="close9" hidden="1"/>
        <xdr:cNvSpPr/>
      </xdr:nvSpPr>
      <xdr:spPr>
        <a:xfrm rot="2700000">
          <a:off x="3809997" y="2952751"/>
          <a:ext cx="9702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33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34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17</xdr:row>
      <xdr:rowOff>0</xdr:rowOff>
    </xdr:from>
    <xdr:to>
      <xdr:col>45</xdr:col>
      <xdr:colOff>182880</xdr:colOff>
      <xdr:row>17</xdr:row>
      <xdr:rowOff>152400</xdr:rowOff>
    </xdr:to>
    <xdr:sp macro="[0]!AddLineItem" textlink="">
      <xdr:nvSpPr>
        <xdr:cNvPr id="635" name="Rectangle 634"/>
        <xdr:cNvSpPr/>
      </xdr:nvSpPr>
      <xdr:spPr>
        <a:xfrm>
          <a:off x="951865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17</xdr:row>
      <xdr:rowOff>0</xdr:rowOff>
    </xdr:from>
    <xdr:to>
      <xdr:col>46</xdr:col>
      <xdr:colOff>182880</xdr:colOff>
      <xdr:row>17</xdr:row>
      <xdr:rowOff>152400</xdr:rowOff>
    </xdr:to>
    <xdr:sp macro="[0]!AddLineItem" textlink="">
      <xdr:nvSpPr>
        <xdr:cNvPr id="636" name="Rectangle 635"/>
        <xdr:cNvSpPr/>
      </xdr:nvSpPr>
      <xdr:spPr>
        <a:xfrm>
          <a:off x="9702800" y="28765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7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8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39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25400</xdr:rowOff>
    </xdr:from>
    <xdr:to>
      <xdr:col>20</xdr:col>
      <xdr:colOff>163830</xdr:colOff>
      <xdr:row>17</xdr:row>
      <xdr:rowOff>0</xdr:rowOff>
    </xdr:to>
    <xdr:sp macro="[1]!closepopup" textlink="">
      <xdr:nvSpPr>
        <xdr:cNvPr id="640" name="close11" hidden="1"/>
        <xdr:cNvSpPr/>
      </xdr:nvSpPr>
      <xdr:spPr>
        <a:xfrm rot="2700000">
          <a:off x="4920615" y="271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1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2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3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4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5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17</xdr:row>
      <xdr:rowOff>25400</xdr:rowOff>
    </xdr:from>
    <xdr:to>
      <xdr:col>20</xdr:col>
      <xdr:colOff>163830</xdr:colOff>
      <xdr:row>18</xdr:row>
      <xdr:rowOff>0</xdr:rowOff>
    </xdr:to>
    <xdr:sp macro="[1]!closepopup" textlink="">
      <xdr:nvSpPr>
        <xdr:cNvPr id="646" name="close11" hidden="1"/>
        <xdr:cNvSpPr/>
      </xdr:nvSpPr>
      <xdr:spPr>
        <a:xfrm rot="2700000">
          <a:off x="4920615" y="28771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30</xdr:row>
      <xdr:rowOff>120650</xdr:rowOff>
    </xdr:from>
    <xdr:to>
      <xdr:col>26</xdr:col>
      <xdr:colOff>44450</xdr:colOff>
      <xdr:row>33</xdr:row>
      <xdr:rowOff>69850</xdr:rowOff>
    </xdr:to>
    <xdr:sp macro="" textlink="">
      <xdr:nvSpPr>
        <xdr:cNvPr id="647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30</xdr:row>
      <xdr:rowOff>38102</xdr:rowOff>
    </xdr:from>
    <xdr:to>
      <xdr:col>26</xdr:col>
      <xdr:colOff>132078</xdr:colOff>
      <xdr:row>32</xdr:row>
      <xdr:rowOff>62232</xdr:rowOff>
    </xdr:to>
    <xdr:sp macro="[1]!closepopup" textlink="">
      <xdr:nvSpPr>
        <xdr:cNvPr id="648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32</xdr:row>
      <xdr:rowOff>152402</xdr:rowOff>
    </xdr:from>
    <xdr:to>
      <xdr:col>17</xdr:col>
      <xdr:colOff>24128</xdr:colOff>
      <xdr:row>33</xdr:row>
      <xdr:rowOff>17782</xdr:rowOff>
    </xdr:to>
    <xdr:sp macro="[1]!closepopup" textlink="">
      <xdr:nvSpPr>
        <xdr:cNvPr id="649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32</xdr:row>
      <xdr:rowOff>25400</xdr:rowOff>
    </xdr:from>
    <xdr:to>
      <xdr:col>20</xdr:col>
      <xdr:colOff>163830</xdr:colOff>
      <xdr:row>33</xdr:row>
      <xdr:rowOff>0</xdr:rowOff>
    </xdr:to>
    <xdr:sp macro="[1]!closepopup" textlink="">
      <xdr:nvSpPr>
        <xdr:cNvPr id="650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33</xdr:row>
      <xdr:rowOff>0</xdr:rowOff>
    </xdr:from>
    <xdr:to>
      <xdr:col>20</xdr:col>
      <xdr:colOff>163830</xdr:colOff>
      <xdr:row>33</xdr:row>
      <xdr:rowOff>68580</xdr:rowOff>
    </xdr:to>
    <xdr:sp macro="[1]!closepopup" textlink="">
      <xdr:nvSpPr>
        <xdr:cNvPr id="651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33</xdr:row>
      <xdr:rowOff>0</xdr:rowOff>
    </xdr:from>
    <xdr:to>
      <xdr:col>20</xdr:col>
      <xdr:colOff>163830</xdr:colOff>
      <xdr:row>35</xdr:row>
      <xdr:rowOff>68580</xdr:rowOff>
    </xdr:to>
    <xdr:sp macro="[1]!closepopup" textlink="">
      <xdr:nvSpPr>
        <xdr:cNvPr id="652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33</xdr:row>
      <xdr:rowOff>0</xdr:rowOff>
    </xdr:from>
    <xdr:to>
      <xdr:col>20</xdr:col>
      <xdr:colOff>163830</xdr:colOff>
      <xdr:row>33</xdr:row>
      <xdr:rowOff>68580</xdr:rowOff>
    </xdr:to>
    <xdr:sp macro="[1]!closepopup" textlink="">
      <xdr:nvSpPr>
        <xdr:cNvPr id="653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32</xdr:row>
      <xdr:rowOff>0</xdr:rowOff>
    </xdr:from>
    <xdr:to>
      <xdr:col>45</xdr:col>
      <xdr:colOff>182880</xdr:colOff>
      <xdr:row>32</xdr:row>
      <xdr:rowOff>152400</xdr:rowOff>
    </xdr:to>
    <xdr:sp macro="[0]!AddLineItem" textlink="">
      <xdr:nvSpPr>
        <xdr:cNvPr id="654" name="Rectangle 653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30</xdr:row>
      <xdr:rowOff>0</xdr:rowOff>
    </xdr:from>
    <xdr:to>
      <xdr:col>45</xdr:col>
      <xdr:colOff>182880</xdr:colOff>
      <xdr:row>30</xdr:row>
      <xdr:rowOff>152400</xdr:rowOff>
    </xdr:to>
    <xdr:sp macro="[0]!AddBillingCategory" textlink="">
      <xdr:nvSpPr>
        <xdr:cNvPr id="655" name="Rectangle 654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29</xdr:row>
      <xdr:rowOff>0</xdr:rowOff>
    </xdr:from>
    <xdr:to>
      <xdr:col>45</xdr:col>
      <xdr:colOff>182880</xdr:colOff>
      <xdr:row>29</xdr:row>
      <xdr:rowOff>152400</xdr:rowOff>
    </xdr:to>
    <xdr:sp macro="[0]!AddNewPoint" textlink="">
      <xdr:nvSpPr>
        <xdr:cNvPr id="656" name="Rectangle 655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29</xdr:row>
      <xdr:rowOff>0</xdr:rowOff>
    </xdr:from>
    <xdr:to>
      <xdr:col>46</xdr:col>
      <xdr:colOff>182880</xdr:colOff>
      <xdr:row>29</xdr:row>
      <xdr:rowOff>152400</xdr:rowOff>
    </xdr:to>
    <xdr:sp macro="[0]!DeletePoint" textlink="">
      <xdr:nvSpPr>
        <xdr:cNvPr id="657" name="Rectangle 656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30</xdr:row>
      <xdr:rowOff>0</xdr:rowOff>
    </xdr:from>
    <xdr:to>
      <xdr:col>46</xdr:col>
      <xdr:colOff>182880</xdr:colOff>
      <xdr:row>30</xdr:row>
      <xdr:rowOff>152400</xdr:rowOff>
    </xdr:to>
    <xdr:sp macro="[0]!DeleteCategory" textlink="">
      <xdr:nvSpPr>
        <xdr:cNvPr id="658" name="Rectangle 657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32</xdr:row>
      <xdr:rowOff>0</xdr:rowOff>
    </xdr:from>
    <xdr:to>
      <xdr:col>46</xdr:col>
      <xdr:colOff>182880</xdr:colOff>
      <xdr:row>32</xdr:row>
      <xdr:rowOff>152400</xdr:rowOff>
    </xdr:to>
    <xdr:sp macro="[0]!AddLineItem" textlink="">
      <xdr:nvSpPr>
        <xdr:cNvPr id="659" name="Rectangle 658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23</xdr:row>
      <xdr:rowOff>120650</xdr:rowOff>
    </xdr:from>
    <xdr:to>
      <xdr:col>26</xdr:col>
      <xdr:colOff>44450</xdr:colOff>
      <xdr:row>26</xdr:row>
      <xdr:rowOff>69850</xdr:rowOff>
    </xdr:to>
    <xdr:sp macro="" textlink="">
      <xdr:nvSpPr>
        <xdr:cNvPr id="660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23</xdr:row>
      <xdr:rowOff>38102</xdr:rowOff>
    </xdr:from>
    <xdr:to>
      <xdr:col>26</xdr:col>
      <xdr:colOff>132078</xdr:colOff>
      <xdr:row>25</xdr:row>
      <xdr:rowOff>62232</xdr:rowOff>
    </xdr:to>
    <xdr:sp macro="[1]!closepopup" textlink="">
      <xdr:nvSpPr>
        <xdr:cNvPr id="661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25</xdr:row>
      <xdr:rowOff>152402</xdr:rowOff>
    </xdr:from>
    <xdr:to>
      <xdr:col>17</xdr:col>
      <xdr:colOff>24128</xdr:colOff>
      <xdr:row>26</xdr:row>
      <xdr:rowOff>17782</xdr:rowOff>
    </xdr:to>
    <xdr:sp macro="[1]!closepopup" textlink="">
      <xdr:nvSpPr>
        <xdr:cNvPr id="662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25400</xdr:rowOff>
    </xdr:from>
    <xdr:to>
      <xdr:col>20</xdr:col>
      <xdr:colOff>163830</xdr:colOff>
      <xdr:row>26</xdr:row>
      <xdr:rowOff>0</xdr:rowOff>
    </xdr:to>
    <xdr:sp macro="[1]!closepopup" textlink="">
      <xdr:nvSpPr>
        <xdr:cNvPr id="663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1]!closepopup" textlink="">
      <xdr:nvSpPr>
        <xdr:cNvPr id="66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28</xdr:row>
      <xdr:rowOff>68580</xdr:rowOff>
    </xdr:to>
    <xdr:sp macro="[1]!closepopup" textlink="">
      <xdr:nvSpPr>
        <xdr:cNvPr id="665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1]!closepopup" textlink="">
      <xdr:nvSpPr>
        <xdr:cNvPr id="666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25</xdr:row>
      <xdr:rowOff>0</xdr:rowOff>
    </xdr:from>
    <xdr:to>
      <xdr:col>45</xdr:col>
      <xdr:colOff>182880</xdr:colOff>
      <xdr:row>25</xdr:row>
      <xdr:rowOff>152400</xdr:rowOff>
    </xdr:to>
    <xdr:sp macro="[0]!AddLineItem" textlink="">
      <xdr:nvSpPr>
        <xdr:cNvPr id="667" name="Rectangle 666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23</xdr:row>
      <xdr:rowOff>0</xdr:rowOff>
    </xdr:from>
    <xdr:to>
      <xdr:col>45</xdr:col>
      <xdr:colOff>182880</xdr:colOff>
      <xdr:row>23</xdr:row>
      <xdr:rowOff>152400</xdr:rowOff>
    </xdr:to>
    <xdr:sp macro="[0]!AddBillingCategory" textlink="">
      <xdr:nvSpPr>
        <xdr:cNvPr id="668" name="Rectangle 667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22</xdr:row>
      <xdr:rowOff>0</xdr:rowOff>
    </xdr:from>
    <xdr:to>
      <xdr:col>45</xdr:col>
      <xdr:colOff>182880</xdr:colOff>
      <xdr:row>22</xdr:row>
      <xdr:rowOff>152400</xdr:rowOff>
    </xdr:to>
    <xdr:sp macro="[0]!AddNewPoint" textlink="">
      <xdr:nvSpPr>
        <xdr:cNvPr id="669" name="Rectangle 668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22</xdr:row>
      <xdr:rowOff>0</xdr:rowOff>
    </xdr:from>
    <xdr:to>
      <xdr:col>46</xdr:col>
      <xdr:colOff>182880</xdr:colOff>
      <xdr:row>22</xdr:row>
      <xdr:rowOff>152400</xdr:rowOff>
    </xdr:to>
    <xdr:sp macro="[0]!DeletePoint" textlink="">
      <xdr:nvSpPr>
        <xdr:cNvPr id="670" name="Rectangle 669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23</xdr:row>
      <xdr:rowOff>0</xdr:rowOff>
    </xdr:from>
    <xdr:to>
      <xdr:col>46</xdr:col>
      <xdr:colOff>182880</xdr:colOff>
      <xdr:row>23</xdr:row>
      <xdr:rowOff>152400</xdr:rowOff>
    </xdr:to>
    <xdr:sp macro="[0]!DeleteCategory" textlink="">
      <xdr:nvSpPr>
        <xdr:cNvPr id="671" name="Rectangle 670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25</xdr:row>
      <xdr:rowOff>0</xdr:rowOff>
    </xdr:from>
    <xdr:to>
      <xdr:col>46</xdr:col>
      <xdr:colOff>182880</xdr:colOff>
      <xdr:row>25</xdr:row>
      <xdr:rowOff>152400</xdr:rowOff>
    </xdr:to>
    <xdr:sp macro="[0]!AddLineItem" textlink="">
      <xdr:nvSpPr>
        <xdr:cNvPr id="672" name="Rectangle 671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tabSelected="1" zoomScaleNormal="100" zoomScaleSheetLayoutView="80" workbookViewId="0">
      <selection activeCell="J12" sqref="J12"/>
    </sheetView>
  </sheetViews>
  <sheetFormatPr defaultRowHeight="12.5" customHeight="1" x14ac:dyDescent="0.35"/>
  <cols>
    <col min="1" max="1" width="1.36328125" style="166" customWidth="1"/>
    <col min="2" max="4" width="1.81640625" style="165" customWidth="1"/>
    <col min="5" max="5" width="1.81640625" style="165" bestFit="1" customWidth="1"/>
    <col min="6" max="6" width="1.81640625" style="165" customWidth="1"/>
    <col min="7" max="57" width="2.6328125" style="165" customWidth="1"/>
    <col min="58" max="16384" width="8.7265625" style="165"/>
  </cols>
  <sheetData>
    <row r="1" spans="1:52" ht="12.75" customHeight="1" x14ac:dyDescent="0.35">
      <c r="B1" s="165" t="s">
        <v>1384</v>
      </c>
      <c r="G1" s="248" t="s">
        <v>1385</v>
      </c>
      <c r="H1" s="248"/>
      <c r="I1" s="248"/>
      <c r="J1" s="251" t="s">
        <v>246</v>
      </c>
      <c r="K1" s="251"/>
      <c r="L1" s="251"/>
      <c r="M1" s="251"/>
      <c r="N1" s="251"/>
      <c r="O1" s="251"/>
      <c r="P1" s="251"/>
      <c r="Q1" s="251"/>
      <c r="R1" s="175"/>
      <c r="S1" s="175"/>
      <c r="T1" s="172" t="s">
        <v>1386</v>
      </c>
      <c r="U1" s="172"/>
      <c r="V1" s="172"/>
      <c r="W1" s="176" t="str">
        <f>VLOOKUP(J1,Countries!$C$2:$L$59,10,0)</f>
        <v>ZAR</v>
      </c>
      <c r="X1" s="175"/>
      <c r="Y1" s="175"/>
      <c r="Z1" s="175"/>
      <c r="AA1" s="175"/>
      <c r="AB1" s="175"/>
      <c r="AC1" s="175"/>
      <c r="AD1" s="175"/>
      <c r="AE1" s="175"/>
      <c r="AF1" s="172"/>
      <c r="AG1" s="177" t="str">
        <f>IF(W1="ZAR","","Exchange Rate:")</f>
        <v/>
      </c>
      <c r="AH1" s="172"/>
      <c r="AI1" s="178"/>
      <c r="AJ1" s="172"/>
      <c r="AK1" s="176" t="str">
        <f>IFERROR("1 ZAR = " &amp;  ROUNDUP(VLOOKUP(VLOOKUP(J1,Countries!$C$2:$L$59,10,0),'Exchange Rate'!O2:Q170,3,0),3) &amp;" " &amp; VLOOKUP(J1,Countries!$C$2:$L$59,10,0),"")</f>
        <v/>
      </c>
      <c r="AL1" s="177"/>
      <c r="AM1" s="172"/>
      <c r="AN1" s="172"/>
      <c r="AO1" s="172"/>
      <c r="AP1" s="172"/>
      <c r="AQ1" s="172"/>
      <c r="AR1" s="172"/>
      <c r="AS1" s="172"/>
    </row>
    <row r="2" spans="1:52" ht="12.75" customHeight="1" x14ac:dyDescent="0.35">
      <c r="G2" s="175"/>
      <c r="H2" s="249" t="s">
        <v>1363</v>
      </c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161"/>
      <c r="U2" s="249" t="s">
        <v>1364</v>
      </c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161"/>
      <c r="AH2" s="249" t="s">
        <v>1382</v>
      </c>
      <c r="AI2" s="249"/>
      <c r="AJ2" s="249"/>
      <c r="AK2" s="249"/>
      <c r="AL2" s="249"/>
      <c r="AM2" s="249"/>
      <c r="AN2" s="249"/>
      <c r="AO2" s="249"/>
      <c r="AP2" s="249"/>
      <c r="AQ2" s="249"/>
      <c r="AR2" s="249"/>
      <c r="AS2" s="249"/>
    </row>
    <row r="3" spans="1:52" ht="12.75" customHeight="1" x14ac:dyDescent="0.35">
      <c r="G3" s="171"/>
      <c r="H3" s="252"/>
      <c r="I3" s="252"/>
      <c r="J3" s="252"/>
      <c r="K3" s="170"/>
      <c r="L3" s="250"/>
      <c r="M3" s="250"/>
      <c r="N3" s="250"/>
      <c r="O3" s="250"/>
      <c r="P3" s="250"/>
      <c r="Q3" s="250"/>
      <c r="R3" s="250"/>
      <c r="S3" s="250"/>
      <c r="T3" s="171"/>
      <c r="U3" s="252"/>
      <c r="V3" s="252"/>
      <c r="W3" s="252"/>
      <c r="X3" s="180"/>
      <c r="Y3" s="250"/>
      <c r="Z3" s="250"/>
      <c r="AA3" s="250"/>
      <c r="AB3" s="250"/>
      <c r="AC3" s="250"/>
      <c r="AD3" s="250"/>
      <c r="AE3" s="250"/>
      <c r="AF3" s="250"/>
      <c r="AG3" s="171"/>
      <c r="AH3" s="252"/>
      <c r="AI3" s="252"/>
      <c r="AJ3" s="252"/>
      <c r="AK3" s="180"/>
      <c r="AL3" s="250"/>
      <c r="AM3" s="250"/>
      <c r="AN3" s="250"/>
      <c r="AO3" s="250"/>
      <c r="AP3" s="250"/>
      <c r="AQ3" s="250"/>
      <c r="AR3" s="250"/>
      <c r="AS3" s="250"/>
      <c r="AT3" s="163"/>
    </row>
    <row r="4" spans="1:52" ht="12.75" customHeight="1" x14ac:dyDescent="0.35">
      <c r="G4" s="171"/>
      <c r="H4" s="252"/>
      <c r="I4" s="252"/>
      <c r="J4" s="252"/>
      <c r="K4" s="170"/>
      <c r="L4" s="250"/>
      <c r="M4" s="250"/>
      <c r="N4" s="250"/>
      <c r="O4" s="250"/>
      <c r="P4" s="250"/>
      <c r="Q4" s="250"/>
      <c r="R4" s="250"/>
      <c r="S4" s="250"/>
      <c r="T4" s="171"/>
      <c r="U4" s="252"/>
      <c r="V4" s="252"/>
      <c r="W4" s="252"/>
      <c r="X4" s="180"/>
      <c r="Y4" s="250"/>
      <c r="Z4" s="250"/>
      <c r="AA4" s="250"/>
      <c r="AB4" s="250"/>
      <c r="AC4" s="250"/>
      <c r="AD4" s="250"/>
      <c r="AE4" s="250"/>
      <c r="AF4" s="250"/>
      <c r="AG4" s="171"/>
      <c r="AH4" s="252"/>
      <c r="AI4" s="252"/>
      <c r="AJ4" s="252"/>
      <c r="AK4" s="180"/>
      <c r="AL4" s="250"/>
      <c r="AM4" s="250"/>
      <c r="AN4" s="250"/>
      <c r="AO4" s="250"/>
      <c r="AP4" s="250"/>
      <c r="AQ4" s="250"/>
      <c r="AR4" s="250"/>
      <c r="AS4" s="250"/>
      <c r="AT4" s="163"/>
    </row>
    <row r="5" spans="1:52" ht="12.75" customHeight="1" thickBot="1" x14ac:dyDescent="0.4">
      <c r="D5" s="174">
        <f>L5+Y5+AL5</f>
        <v>0</v>
      </c>
      <c r="G5" s="171"/>
      <c r="H5" s="254" t="s">
        <v>1383</v>
      </c>
      <c r="I5" s="254"/>
      <c r="J5" s="254"/>
      <c r="K5" s="254"/>
      <c r="L5" s="253">
        <f>SUM(L3:S4)</f>
        <v>0</v>
      </c>
      <c r="M5" s="253"/>
      <c r="N5" s="253"/>
      <c r="O5" s="253"/>
      <c r="P5" s="253"/>
      <c r="Q5" s="253"/>
      <c r="R5" s="253"/>
      <c r="S5" s="253"/>
      <c r="T5" s="171"/>
      <c r="U5" s="254" t="s">
        <v>1383</v>
      </c>
      <c r="V5" s="254"/>
      <c r="W5" s="254"/>
      <c r="X5" s="254"/>
      <c r="Y5" s="253">
        <f>SUM(Y3:AF4)</f>
        <v>0</v>
      </c>
      <c r="Z5" s="253"/>
      <c r="AA5" s="253"/>
      <c r="AB5" s="253"/>
      <c r="AC5" s="253"/>
      <c r="AD5" s="253"/>
      <c r="AE5" s="253"/>
      <c r="AF5" s="253"/>
      <c r="AG5" s="171"/>
      <c r="AH5" s="254" t="s">
        <v>1383</v>
      </c>
      <c r="AI5" s="254"/>
      <c r="AJ5" s="254"/>
      <c r="AK5" s="254"/>
      <c r="AL5" s="253">
        <f>SUM(AL3:AS4)</f>
        <v>0</v>
      </c>
      <c r="AM5" s="253"/>
      <c r="AN5" s="253"/>
      <c r="AO5" s="253"/>
      <c r="AP5" s="253"/>
      <c r="AQ5" s="253"/>
      <c r="AR5" s="253"/>
      <c r="AS5" s="253"/>
    </row>
    <row r="6" spans="1:52" ht="12.75" customHeight="1" thickTop="1" x14ac:dyDescent="0.35">
      <c r="G6" s="171"/>
      <c r="H6" s="256"/>
      <c r="I6" s="256"/>
      <c r="J6" s="256"/>
      <c r="K6" s="256"/>
      <c r="L6" s="257"/>
      <c r="M6" s="257"/>
      <c r="N6" s="257"/>
      <c r="O6" s="257"/>
      <c r="P6" s="257"/>
      <c r="Q6" s="257"/>
      <c r="R6" s="257"/>
      <c r="S6" s="257"/>
      <c r="T6" s="171"/>
      <c r="U6" s="258"/>
      <c r="V6" s="258"/>
      <c r="W6" s="258"/>
      <c r="X6" s="258"/>
      <c r="Y6" s="257"/>
      <c r="Z6" s="257"/>
      <c r="AA6" s="257"/>
      <c r="AB6" s="257"/>
      <c r="AC6" s="257"/>
      <c r="AD6" s="257"/>
      <c r="AE6" s="257"/>
      <c r="AF6" s="257"/>
      <c r="AG6" s="171"/>
      <c r="AH6" s="258"/>
      <c r="AI6" s="258"/>
      <c r="AJ6" s="258"/>
      <c r="AK6" s="258"/>
      <c r="AL6" s="257"/>
      <c r="AM6" s="257"/>
      <c r="AN6" s="257"/>
      <c r="AO6" s="257"/>
      <c r="AP6" s="257"/>
      <c r="AQ6" s="257"/>
      <c r="AR6" s="257"/>
      <c r="AS6" s="257"/>
    </row>
    <row r="7" spans="1:52" ht="11" customHeight="1" x14ac:dyDescent="0.35"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4"/>
      <c r="AM7" s="254"/>
      <c r="AN7" s="254"/>
      <c r="AO7" s="254"/>
      <c r="AP7" s="254"/>
      <c r="AQ7" s="254"/>
      <c r="AR7" s="254"/>
      <c r="AS7" s="254"/>
    </row>
    <row r="8" spans="1:52" ht="11" customHeight="1" x14ac:dyDescent="0.35"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55"/>
      <c r="W8" s="255"/>
      <c r="X8" s="255"/>
      <c r="Y8" s="255"/>
      <c r="Z8" s="255"/>
      <c r="AA8" s="255"/>
      <c r="AB8" s="255"/>
      <c r="AC8" s="255"/>
      <c r="AD8" s="255"/>
      <c r="AE8" s="255"/>
      <c r="AF8" s="255"/>
      <c r="AG8" s="255"/>
      <c r="AH8" s="255"/>
      <c r="AI8" s="255"/>
      <c r="AJ8" s="255"/>
      <c r="AK8" s="255"/>
      <c r="AL8" s="255"/>
      <c r="AM8" s="255"/>
      <c r="AN8" s="255"/>
      <c r="AO8" s="255"/>
      <c r="AP8" s="255"/>
      <c r="AQ8" s="255"/>
      <c r="AR8" s="255"/>
      <c r="AS8" s="255"/>
    </row>
    <row r="11" spans="1:52" ht="12.5" customHeight="1" x14ac:dyDescent="0.45">
      <c r="A11" s="191"/>
      <c r="B11" s="223" t="s">
        <v>1476</v>
      </c>
      <c r="C11" s="223"/>
      <c r="D11" s="191"/>
      <c r="E11" s="191"/>
      <c r="F11" s="191"/>
      <c r="G11" s="245" t="s">
        <v>1385</v>
      </c>
      <c r="H11" s="246"/>
      <c r="I11" s="246"/>
      <c r="J11" s="247" t="s">
        <v>246</v>
      </c>
      <c r="K11" s="247"/>
      <c r="L11" s="247"/>
      <c r="M11" s="247"/>
      <c r="N11" s="247"/>
      <c r="O11" s="247"/>
      <c r="P11" s="247"/>
      <c r="Q11" s="247"/>
      <c r="R11" s="202"/>
      <c r="S11" s="202"/>
      <c r="T11" s="203"/>
      <c r="U11" s="203"/>
      <c r="V11" s="203"/>
      <c r="W11" s="204"/>
      <c r="X11" s="202"/>
      <c r="Y11" s="202"/>
      <c r="Z11" s="202"/>
      <c r="AA11" s="202"/>
      <c r="AB11" s="202"/>
      <c r="AC11" s="202"/>
      <c r="AD11" s="202"/>
      <c r="AE11" s="202"/>
      <c r="AF11" s="203"/>
      <c r="AG11" s="204"/>
      <c r="AH11" s="203"/>
      <c r="AI11" s="205"/>
      <c r="AJ11" s="203"/>
      <c r="AK11" s="204"/>
      <c r="AL11" s="204"/>
      <c r="AM11" s="203"/>
      <c r="AN11" s="203"/>
      <c r="AO11" s="203"/>
      <c r="AP11" s="203"/>
      <c r="AQ11" s="203"/>
      <c r="AR11" s="203"/>
      <c r="AS11" s="206"/>
      <c r="AT11" s="207"/>
      <c r="AU11" s="207"/>
      <c r="AV11" s="191"/>
      <c r="AW11" s="191"/>
      <c r="AX11" s="191"/>
      <c r="AY11" s="191"/>
      <c r="AZ11" s="191"/>
    </row>
    <row r="12" spans="1:52" ht="12.5" customHeight="1" x14ac:dyDescent="0.45">
      <c r="A12" s="191"/>
      <c r="B12" s="223"/>
      <c r="C12" s="223" t="s">
        <v>1478</v>
      </c>
      <c r="D12" s="191"/>
      <c r="E12" s="191"/>
      <c r="F12"/>
      <c r="G12" s="209"/>
      <c r="H12" s="210" t="s">
        <v>1391</v>
      </c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2"/>
      <c r="AT12" s="207"/>
      <c r="AU12" s="207"/>
      <c r="AV12" s="191"/>
      <c r="AW12" s="191"/>
      <c r="AX12" s="191"/>
      <c r="AY12" s="191"/>
      <c r="AZ12" s="191"/>
    </row>
    <row r="13" spans="1:52" ht="12.5" customHeight="1" x14ac:dyDescent="0.45">
      <c r="A13" s="191"/>
      <c r="B13" s="223"/>
      <c r="C13" s="223"/>
      <c r="D13" s="191"/>
      <c r="E13" s="191"/>
      <c r="F13" s="191"/>
      <c r="G13" s="190"/>
      <c r="H13" s="213"/>
      <c r="I13" s="234" t="s">
        <v>0</v>
      </c>
      <c r="J13" s="234"/>
      <c r="K13" s="234"/>
      <c r="L13" s="234"/>
      <c r="M13" s="234"/>
      <c r="N13" s="234"/>
      <c r="O13" s="234" t="s">
        <v>1392</v>
      </c>
      <c r="P13" s="234"/>
      <c r="Q13" s="234"/>
      <c r="R13" s="234" t="s">
        <v>1393</v>
      </c>
      <c r="S13" s="234"/>
      <c r="T13" s="234"/>
      <c r="U13" s="234"/>
      <c r="V13" s="234"/>
      <c r="W13" s="234"/>
      <c r="X13" s="234"/>
      <c r="Y13" s="234" t="s">
        <v>1394</v>
      </c>
      <c r="Z13" s="234"/>
      <c r="AA13" s="234"/>
      <c r="AB13" s="234"/>
      <c r="AC13" s="234"/>
      <c r="AD13" s="234" t="s">
        <v>1383</v>
      </c>
      <c r="AE13" s="234"/>
      <c r="AF13" s="234"/>
      <c r="AG13" s="234"/>
      <c r="AH13" s="234"/>
      <c r="AI13" s="234"/>
      <c r="AJ13" s="234"/>
      <c r="AK13" s="234" t="s">
        <v>1395</v>
      </c>
      <c r="AL13" s="234"/>
      <c r="AM13" s="234"/>
      <c r="AN13" s="234"/>
      <c r="AO13" s="234"/>
      <c r="AP13" s="235" t="s">
        <v>468</v>
      </c>
      <c r="AQ13" s="235"/>
      <c r="AR13" s="235"/>
      <c r="AS13" s="236"/>
      <c r="AT13" s="207"/>
      <c r="AU13" s="207"/>
      <c r="AV13" s="191"/>
      <c r="AW13" s="191"/>
      <c r="AX13" s="191"/>
      <c r="AY13" s="191"/>
      <c r="AZ13" s="191"/>
    </row>
    <row r="14" spans="1:52" ht="12.5" customHeight="1" x14ac:dyDescent="0.45">
      <c r="A14" s="191"/>
      <c r="B14" s="223"/>
      <c r="C14" s="223">
        <v>1</v>
      </c>
      <c r="D14" s="191"/>
      <c r="E14" s="191"/>
      <c r="F14" s="191"/>
      <c r="G14" s="195"/>
      <c r="H14" s="195"/>
      <c r="I14" s="237" t="s">
        <v>93</v>
      </c>
      <c r="J14" s="237"/>
      <c r="K14" s="237"/>
      <c r="L14" s="237"/>
      <c r="M14" s="237"/>
      <c r="N14" s="238"/>
      <c r="O14" s="239"/>
      <c r="P14" s="240"/>
      <c r="Q14" s="241"/>
      <c r="R14" s="242">
        <v>10</v>
      </c>
      <c r="S14" s="242"/>
      <c r="T14" s="242"/>
      <c r="U14" s="242"/>
      <c r="V14" s="242"/>
      <c r="W14" s="242"/>
      <c r="X14" s="242"/>
      <c r="Y14" s="243" t="s">
        <v>54</v>
      </c>
      <c r="Z14" s="243"/>
      <c r="AA14" s="243"/>
      <c r="AB14" s="243"/>
      <c r="AC14" s="243"/>
      <c r="AD14" s="242">
        <v>10</v>
      </c>
      <c r="AE14" s="242"/>
      <c r="AF14" s="242"/>
      <c r="AG14" s="242"/>
      <c r="AH14" s="242"/>
      <c r="AI14" s="242"/>
      <c r="AJ14" s="242"/>
      <c r="AK14" s="243" t="s">
        <v>54</v>
      </c>
      <c r="AL14" s="243"/>
      <c r="AM14" s="243"/>
      <c r="AN14" s="243"/>
      <c r="AO14" s="243"/>
      <c r="AP14" s="243"/>
      <c r="AQ14" s="243"/>
      <c r="AR14" s="243"/>
      <c r="AS14" s="244"/>
      <c r="AT14" s="214"/>
      <c r="AU14" s="207"/>
      <c r="AV14" s="191"/>
      <c r="AW14" s="191"/>
      <c r="AX14" s="191"/>
      <c r="AY14" s="191"/>
      <c r="AZ14" s="191"/>
    </row>
    <row r="15" spans="1:52" ht="12.5" customHeight="1" thickBot="1" x14ac:dyDescent="0.5">
      <c r="A15" s="191"/>
      <c r="B15" s="223"/>
      <c r="C15" s="223"/>
      <c r="D15"/>
      <c r="E15" s="191"/>
      <c r="F15" s="191"/>
      <c r="G15" s="216"/>
      <c r="H15" s="216"/>
      <c r="I15" s="183"/>
      <c r="J15" s="183"/>
      <c r="K15" s="183"/>
      <c r="L15" s="196"/>
      <c r="M15" s="196"/>
      <c r="N15" s="196"/>
      <c r="O15" s="196"/>
      <c r="P15" s="196"/>
      <c r="Q15" s="196"/>
      <c r="R15" s="196"/>
      <c r="S15" s="196"/>
      <c r="T15" s="183"/>
      <c r="U15" s="183"/>
      <c r="V15" s="183"/>
      <c r="W15" s="183"/>
      <c r="X15" s="183"/>
      <c r="Y15" s="229" t="str">
        <f>H12&amp;" Total"</f>
        <v>Northbound Total</v>
      </c>
      <c r="Z15" s="229"/>
      <c r="AA15" s="229"/>
      <c r="AB15" s="229"/>
      <c r="AC15" s="229"/>
      <c r="AD15" s="230"/>
      <c r="AE15" s="231"/>
      <c r="AF15" s="231"/>
      <c r="AG15" s="231"/>
      <c r="AH15" s="231"/>
      <c r="AI15" s="231"/>
      <c r="AJ15" s="231"/>
      <c r="AK15" s="232"/>
      <c r="AL15" s="233"/>
      <c r="AM15" s="233"/>
      <c r="AN15" s="233"/>
      <c r="AO15" s="233"/>
      <c r="AP15" s="181"/>
      <c r="AQ15" s="181"/>
      <c r="AR15" s="181"/>
      <c r="AS15" s="181"/>
      <c r="AT15" s="214"/>
      <c r="AU15" s="207"/>
      <c r="AV15" s="191"/>
      <c r="AW15" s="191"/>
      <c r="AX15" s="191"/>
      <c r="AY15" s="191"/>
      <c r="AZ15" s="191"/>
    </row>
    <row r="16" spans="1:52" ht="12.5" customHeight="1" thickTop="1" x14ac:dyDescent="0.45">
      <c r="A16" s="191"/>
      <c r="B16" s="223"/>
      <c r="C16" s="223" t="s">
        <v>1479</v>
      </c>
      <c r="D16"/>
      <c r="E16" s="191"/>
      <c r="F16" s="191"/>
      <c r="G16" s="216"/>
      <c r="H16" s="216"/>
      <c r="I16" s="216"/>
      <c r="J16" s="216"/>
      <c r="K16" s="216"/>
      <c r="L16" s="217"/>
      <c r="M16" s="217"/>
      <c r="N16" s="217"/>
      <c r="O16" s="217"/>
      <c r="P16" s="217"/>
      <c r="Q16" s="217"/>
      <c r="R16" s="217"/>
      <c r="S16" s="217"/>
      <c r="T16" s="216"/>
      <c r="U16" s="216"/>
      <c r="V16" s="216"/>
      <c r="W16" s="216"/>
      <c r="X16" s="216"/>
      <c r="Y16" s="218"/>
      <c r="Z16" s="218"/>
      <c r="AA16" s="218"/>
      <c r="AB16" s="218"/>
      <c r="AC16" s="218"/>
      <c r="AD16" s="219"/>
      <c r="AE16" s="219"/>
      <c r="AF16" s="219"/>
      <c r="AG16" s="219"/>
      <c r="AH16" s="219"/>
      <c r="AI16" s="219"/>
      <c r="AJ16" s="219"/>
      <c r="AK16" s="217"/>
      <c r="AL16" s="217"/>
      <c r="AM16" s="217"/>
      <c r="AN16" s="217"/>
      <c r="AO16" s="217"/>
      <c r="AP16" s="188"/>
      <c r="AQ16" s="188"/>
      <c r="AR16" s="188"/>
      <c r="AS16" s="188"/>
      <c r="AT16" s="220"/>
      <c r="AU16" s="207"/>
      <c r="AV16" s="191"/>
      <c r="AW16" s="191"/>
      <c r="AX16" s="191"/>
      <c r="AY16" s="191"/>
      <c r="AZ16" s="191"/>
    </row>
    <row r="17" spans="2:3" ht="12.5" customHeight="1" x14ac:dyDescent="0.35">
      <c r="B17" s="224" t="s">
        <v>1477</v>
      </c>
      <c r="C17" s="224"/>
    </row>
  </sheetData>
  <mergeCells count="50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G11:I11"/>
    <mergeCell ref="J11:Q11"/>
    <mergeCell ref="I13:N13"/>
    <mergeCell ref="O13:Q13"/>
    <mergeCell ref="R13:X13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Y15:AC15"/>
    <mergeCell ref="AD15:AJ15"/>
    <mergeCell ref="AK15:AO15"/>
    <mergeCell ref="Y13:AC13"/>
    <mergeCell ref="AD13:AJ13"/>
    <mergeCell ref="AK13:AO13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G15:Y16 AP15:AS16"/>
    <dataValidation allowBlank="1" sqref="G14:H14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V59"/>
  <sheetViews>
    <sheetView showGridLines="0" topLeftCell="B2" zoomScaleNormal="100" zoomScaleSheetLayoutView="100" workbookViewId="0">
      <selection activeCell="J22" sqref="J22"/>
    </sheetView>
  </sheetViews>
  <sheetFormatPr defaultRowHeight="12.5" customHeight="1" x14ac:dyDescent="0.35"/>
  <cols>
    <col min="1" max="1" width="2.81640625" style="222" hidden="1" customWidth="1"/>
    <col min="2" max="2" width="10.7265625" style="304" bestFit="1" customWidth="1"/>
    <col min="3" max="3" width="14.1796875" style="304" bestFit="1" customWidth="1"/>
    <col min="4" max="4" width="4.90625" style="304" bestFit="1" customWidth="1"/>
    <col min="5" max="6" width="1.81640625" style="304" customWidth="1"/>
    <col min="7" max="57" width="2.6328125" customWidth="1"/>
  </cols>
  <sheetData>
    <row r="1" spans="1:47" ht="12.75" hidden="1" customHeight="1" x14ac:dyDescent="0.35">
      <c r="A1" s="221"/>
      <c r="B1" s="303">
        <f>COUNTIF(B2:B58,"POINT")</f>
        <v>0</v>
      </c>
      <c r="C1" s="303"/>
      <c r="D1" s="303"/>
      <c r="E1" s="303"/>
      <c r="F1" s="303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</row>
    <row r="2" spans="1:47" ht="51.75" customHeight="1" x14ac:dyDescent="0.35">
      <c r="A2" s="221"/>
      <c r="B2" s="303"/>
      <c r="C2" s="303"/>
      <c r="D2" s="303"/>
      <c r="E2" s="303"/>
      <c r="F2" s="303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</row>
    <row r="3" spans="1:47" ht="12.75" customHeight="1" x14ac:dyDescent="0.35">
      <c r="C3" s="303"/>
      <c r="G3" s="173"/>
      <c r="H3" s="173"/>
      <c r="I3" s="173"/>
      <c r="J3" s="173"/>
      <c r="K3" s="173"/>
      <c r="L3" s="173"/>
      <c r="M3" s="173"/>
      <c r="N3" s="173"/>
      <c r="O3" s="112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</row>
    <row r="4" spans="1:47" ht="12.75" customHeight="1" x14ac:dyDescent="0.35">
      <c r="C4" s="303"/>
      <c r="G4" s="173"/>
      <c r="H4" s="173"/>
      <c r="I4" s="173"/>
      <c r="J4" s="173"/>
      <c r="K4" s="173"/>
      <c r="L4" s="173"/>
      <c r="M4" s="173"/>
      <c r="N4" s="173"/>
      <c r="O4" s="112"/>
      <c r="P4" s="173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</row>
    <row r="5" spans="1:47" ht="12.75" customHeight="1" x14ac:dyDescent="0.35">
      <c r="C5" s="30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</row>
    <row r="6" spans="1:47" ht="12.75" customHeight="1" x14ac:dyDescent="0.35">
      <c r="C6" s="303"/>
      <c r="G6" s="273" t="s">
        <v>56</v>
      </c>
      <c r="H6" s="273"/>
      <c r="I6" s="273"/>
      <c r="J6" s="273"/>
      <c r="K6" s="273"/>
      <c r="L6" s="273"/>
      <c r="M6" s="273"/>
      <c r="N6" s="273"/>
      <c r="O6" s="273"/>
      <c r="P6" s="273"/>
      <c r="Q6" s="273"/>
      <c r="R6" s="273"/>
      <c r="S6" s="273"/>
      <c r="T6" s="273"/>
      <c r="U6" s="273"/>
      <c r="V6" s="273"/>
      <c r="W6" s="273"/>
      <c r="X6" s="273"/>
      <c r="Y6" s="273"/>
      <c r="Z6" s="273"/>
      <c r="AA6" s="273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AN6" s="273"/>
      <c r="AO6" s="273"/>
      <c r="AP6" s="273"/>
      <c r="AQ6" s="273"/>
      <c r="AR6" s="273"/>
      <c r="AS6" s="273"/>
    </row>
    <row r="7" spans="1:47" ht="12.75" customHeight="1" x14ac:dyDescent="0.45">
      <c r="C7" s="303"/>
      <c r="D7" s="304">
        <v>1</v>
      </c>
      <c r="G7" s="181"/>
      <c r="H7" s="263" t="s">
        <v>1365</v>
      </c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182"/>
      <c r="U7" s="263" t="s">
        <v>51</v>
      </c>
      <c r="V7" s="263"/>
      <c r="W7" s="263"/>
      <c r="X7" s="263"/>
      <c r="Y7" s="263" t="str">
        <f>IFERROR(IF(VLOOKUP(C$7,Drivers!$A$5:$B$41,2,0)="","-", VLOOKUP(C$7,Drivers!$A$5:$B$41,2,0)),"-")</f>
        <v>-</v>
      </c>
      <c r="Z7" s="263"/>
      <c r="AA7" s="263"/>
      <c r="AB7" s="263"/>
      <c r="AC7" s="263"/>
      <c r="AD7" s="263"/>
      <c r="AE7" s="263"/>
      <c r="AF7" s="263"/>
      <c r="AG7" s="182"/>
      <c r="AH7" s="263" t="s">
        <v>1360</v>
      </c>
      <c r="AI7" s="263"/>
      <c r="AJ7" s="263"/>
      <c r="AK7" s="263"/>
      <c r="AL7" s="275" t="str">
        <f>IFERROR(IF(VLOOKUP($D$7,Horses!$A$6:$C$42,3,0)="","-",VLOOKUP($D$7,Horses!$A$6:$C$42,3,0)),"-")</f>
        <v>BG13ZTGP</v>
      </c>
      <c r="AM7" s="275"/>
      <c r="AN7" s="275"/>
      <c r="AO7" s="275"/>
      <c r="AP7" s="275"/>
      <c r="AQ7" s="275"/>
      <c r="AR7" s="275"/>
      <c r="AS7" s="275"/>
    </row>
    <row r="8" spans="1:47" ht="12.75" customHeight="1" x14ac:dyDescent="0.45">
      <c r="C8" s="303"/>
      <c r="G8" s="181"/>
      <c r="H8" s="263" t="s">
        <v>1356</v>
      </c>
      <c r="I8" s="263"/>
      <c r="J8" s="263"/>
      <c r="K8" s="263"/>
      <c r="L8" s="274">
        <v>43179</v>
      </c>
      <c r="M8" s="274"/>
      <c r="N8" s="274"/>
      <c r="O8" s="274"/>
      <c r="P8" s="274"/>
      <c r="Q8" s="274"/>
      <c r="R8" s="274"/>
      <c r="S8" s="274"/>
      <c r="T8" s="182"/>
      <c r="U8" s="263" t="s">
        <v>1358</v>
      </c>
      <c r="V8" s="263"/>
      <c r="W8" s="263"/>
      <c r="X8" s="263"/>
      <c r="Y8" s="274">
        <v>43192</v>
      </c>
      <c r="Z8" s="274"/>
      <c r="AA8" s="274"/>
      <c r="AB8" s="274"/>
      <c r="AC8" s="274"/>
      <c r="AD8" s="274"/>
      <c r="AE8" s="274"/>
      <c r="AF8" s="274"/>
      <c r="AG8" s="182"/>
      <c r="AH8" s="263" t="s">
        <v>1361</v>
      </c>
      <c r="AI8" s="263"/>
      <c r="AJ8" s="263"/>
      <c r="AK8" s="263"/>
      <c r="AL8" s="263" t="str">
        <f>IFERROR(IF(VLOOKUP($C$8,Trailers!$A$7:$C$43,3,0)="","-",VLOOKUP($C$8,Trailers!$A$7:$C$43,3,0)),"-")</f>
        <v>-</v>
      </c>
      <c r="AM8" s="263"/>
      <c r="AN8" s="263"/>
      <c r="AO8" s="263"/>
      <c r="AP8" s="263"/>
      <c r="AQ8" s="263"/>
      <c r="AR8" s="263"/>
      <c r="AS8" s="263"/>
    </row>
    <row r="9" spans="1:47" ht="12.75" customHeight="1" x14ac:dyDescent="0.45">
      <c r="C9" s="303"/>
      <c r="G9" s="181"/>
      <c r="H9" s="263" t="s">
        <v>1357</v>
      </c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182"/>
      <c r="U9" s="263" t="s">
        <v>1359</v>
      </c>
      <c r="V9" s="263"/>
      <c r="W9" s="263"/>
      <c r="X9" s="263"/>
      <c r="Y9" s="263"/>
      <c r="Z9" s="263"/>
      <c r="AA9" s="263"/>
      <c r="AB9" s="263"/>
      <c r="AC9" s="263"/>
      <c r="AD9" s="263"/>
      <c r="AE9" s="263"/>
      <c r="AF9" s="263"/>
      <c r="AG9" s="182"/>
      <c r="AH9" s="263" t="s">
        <v>1362</v>
      </c>
      <c r="AI9" s="263"/>
      <c r="AJ9" s="263"/>
      <c r="AK9" s="263"/>
      <c r="AL9" s="263" t="str">
        <f>IFERROR(IF(VLOOKUP($C$9,Trailers!$A$7:$C$43,3,0)="","-",VLOOKUP($C$9,Trailers!$A$7:$C$43,3,0)),"-")</f>
        <v>-</v>
      </c>
      <c r="AM9" s="263"/>
      <c r="AN9" s="263"/>
      <c r="AO9" s="263"/>
      <c r="AP9" s="263"/>
      <c r="AQ9" s="263"/>
      <c r="AR9" s="263"/>
      <c r="AS9" s="263"/>
    </row>
    <row r="10" spans="1:47" s="166" customFormat="1" ht="12.75" customHeight="1" x14ac:dyDescent="0.45">
      <c r="A10" s="222"/>
      <c r="B10" s="304"/>
      <c r="C10" s="303"/>
      <c r="D10" s="304"/>
      <c r="E10" s="304"/>
      <c r="F10" s="304"/>
      <c r="G10" s="181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2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2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</row>
    <row r="11" spans="1:47" ht="12.75" customHeight="1" x14ac:dyDescent="0.45">
      <c r="C11" s="303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</row>
    <row r="12" spans="1:47" ht="12.75" customHeight="1" x14ac:dyDescent="0.45">
      <c r="B12" s="304" t="s">
        <v>1476</v>
      </c>
      <c r="C12" s="303"/>
      <c r="G12" s="247" t="s">
        <v>1385</v>
      </c>
      <c r="H12" s="247"/>
      <c r="I12" s="247"/>
      <c r="J12" s="247" t="s">
        <v>237</v>
      </c>
      <c r="K12" s="247"/>
      <c r="L12" s="247"/>
      <c r="M12" s="247"/>
      <c r="N12" s="247"/>
      <c r="O12" s="247"/>
      <c r="P12" s="247"/>
      <c r="Q12" s="247"/>
      <c r="R12" s="184"/>
      <c r="S12" s="184"/>
      <c r="T12" s="185"/>
      <c r="U12" s="185"/>
      <c r="V12" s="185"/>
      <c r="W12" s="186"/>
      <c r="X12" s="184"/>
      <c r="Y12" s="184"/>
      <c r="Z12" s="184"/>
      <c r="AA12" s="184"/>
      <c r="AB12" s="184"/>
      <c r="AC12" s="184"/>
      <c r="AD12" s="184"/>
      <c r="AE12" s="184"/>
      <c r="AF12" s="185"/>
      <c r="AG12" s="186"/>
      <c r="AH12" s="185"/>
      <c r="AI12" s="187"/>
      <c r="AJ12" s="185"/>
      <c r="AK12" s="186"/>
      <c r="AL12" s="186"/>
      <c r="AM12" s="185"/>
      <c r="AN12" s="185"/>
      <c r="AO12" s="185"/>
      <c r="AP12" s="185"/>
      <c r="AQ12" s="185"/>
      <c r="AR12" s="185"/>
      <c r="AS12" s="185"/>
    </row>
    <row r="13" spans="1:47" ht="12.75" customHeight="1" x14ac:dyDescent="0.45">
      <c r="C13" s="303" t="s">
        <v>1478</v>
      </c>
      <c r="G13" s="188"/>
      <c r="H13" s="271" t="s">
        <v>1363</v>
      </c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189"/>
      <c r="U13" s="271"/>
      <c r="V13" s="271"/>
      <c r="W13" s="271"/>
      <c r="X13" s="271"/>
      <c r="Y13" s="271"/>
      <c r="Z13" s="271"/>
      <c r="AA13" s="271"/>
      <c r="AB13" s="271"/>
      <c r="AC13" s="271"/>
      <c r="AD13" s="271"/>
      <c r="AE13" s="271"/>
      <c r="AF13" s="271"/>
      <c r="AG13" s="189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</row>
    <row r="14" spans="1:47" s="166" customFormat="1" ht="12.75" customHeight="1" x14ac:dyDescent="0.45">
      <c r="A14" s="222"/>
      <c r="B14" s="304"/>
      <c r="C14" s="303"/>
      <c r="D14" s="304"/>
      <c r="E14" s="304"/>
      <c r="F14" s="304"/>
      <c r="G14" s="188"/>
      <c r="H14" s="190"/>
      <c r="I14" s="234" t="s">
        <v>0</v>
      </c>
      <c r="J14" s="234"/>
      <c r="K14" s="234"/>
      <c r="L14" s="234"/>
      <c r="M14" s="234"/>
      <c r="N14" s="234"/>
      <c r="O14" s="234" t="s">
        <v>1392</v>
      </c>
      <c r="P14" s="234"/>
      <c r="Q14" s="234"/>
      <c r="R14" s="234" t="s">
        <v>1393</v>
      </c>
      <c r="S14" s="234"/>
      <c r="T14" s="234"/>
      <c r="U14" s="234"/>
      <c r="V14" s="234"/>
      <c r="W14" s="234"/>
      <c r="X14" s="234"/>
      <c r="Y14" s="234" t="s">
        <v>1394</v>
      </c>
      <c r="Z14" s="234"/>
      <c r="AA14" s="234"/>
      <c r="AB14" s="234"/>
      <c r="AC14" s="234"/>
      <c r="AD14" s="234" t="s">
        <v>1383</v>
      </c>
      <c r="AE14" s="234"/>
      <c r="AF14" s="234"/>
      <c r="AG14" s="234"/>
      <c r="AH14" s="234"/>
      <c r="AI14" s="234"/>
      <c r="AJ14" s="234"/>
      <c r="AK14" s="234" t="s">
        <v>1395</v>
      </c>
      <c r="AL14" s="234"/>
      <c r="AM14" s="234"/>
      <c r="AN14" s="234"/>
      <c r="AO14" s="234"/>
      <c r="AP14" s="235" t="s">
        <v>468</v>
      </c>
      <c r="AQ14" s="235"/>
      <c r="AR14" s="235"/>
      <c r="AS14" s="236"/>
    </row>
    <row r="15" spans="1:47" s="166" customFormat="1" ht="12.75" customHeight="1" x14ac:dyDescent="0.45">
      <c r="A15" s="222"/>
      <c r="B15" s="304"/>
      <c r="C15" s="303"/>
      <c r="D15" s="304"/>
      <c r="E15" s="304"/>
      <c r="F15" s="304"/>
      <c r="G15" s="226"/>
      <c r="H15" s="191"/>
      <c r="I15" s="237" t="s">
        <v>93</v>
      </c>
      <c r="J15" s="237"/>
      <c r="K15" s="237"/>
      <c r="L15" s="237"/>
      <c r="M15" s="237"/>
      <c r="N15" s="238"/>
      <c r="O15" s="239"/>
      <c r="P15" s="240"/>
      <c r="Q15" s="241"/>
      <c r="R15" s="242">
        <v>10</v>
      </c>
      <c r="S15" s="242"/>
      <c r="T15" s="242"/>
      <c r="U15" s="242"/>
      <c r="V15" s="242"/>
      <c r="W15" s="242"/>
      <c r="X15" s="242"/>
      <c r="Y15" s="243" t="s">
        <v>54</v>
      </c>
      <c r="Z15" s="243"/>
      <c r="AA15" s="243"/>
      <c r="AB15" s="243"/>
      <c r="AC15" s="243"/>
      <c r="AD15" s="242">
        <v>10</v>
      </c>
      <c r="AE15" s="242"/>
      <c r="AF15" s="242"/>
      <c r="AG15" s="242"/>
      <c r="AH15" s="242"/>
      <c r="AI15" s="242"/>
      <c r="AJ15" s="242"/>
      <c r="AK15" s="243" t="s">
        <v>54</v>
      </c>
      <c r="AL15" s="243"/>
      <c r="AM15" s="243"/>
      <c r="AN15" s="243"/>
      <c r="AO15" s="243"/>
      <c r="AP15" s="243"/>
      <c r="AQ15" s="243"/>
      <c r="AR15" s="243"/>
      <c r="AS15" s="244"/>
      <c r="AT15" s="163"/>
    </row>
    <row r="16" spans="1:47" s="166" customFormat="1" ht="12.75" customHeight="1" x14ac:dyDescent="0.45">
      <c r="A16" s="222"/>
      <c r="B16" s="304"/>
      <c r="C16" s="303"/>
      <c r="D16" s="304"/>
      <c r="E16" s="304"/>
      <c r="F16" s="304"/>
      <c r="G16" s="226"/>
      <c r="H16" s="191"/>
      <c r="I16" s="237" t="s">
        <v>93</v>
      </c>
      <c r="J16" s="237"/>
      <c r="K16" s="237"/>
      <c r="L16" s="237"/>
      <c r="M16" s="237"/>
      <c r="N16" s="238"/>
      <c r="O16" s="239"/>
      <c r="P16" s="240"/>
      <c r="Q16" s="241"/>
      <c r="R16" s="242">
        <v>10</v>
      </c>
      <c r="S16" s="242"/>
      <c r="T16" s="242"/>
      <c r="U16" s="242"/>
      <c r="V16" s="242"/>
      <c r="W16" s="242"/>
      <c r="X16" s="242"/>
      <c r="Y16" s="243" t="s">
        <v>54</v>
      </c>
      <c r="Z16" s="243"/>
      <c r="AA16" s="243"/>
      <c r="AB16" s="243"/>
      <c r="AC16" s="243"/>
      <c r="AD16" s="242">
        <v>10</v>
      </c>
      <c r="AE16" s="242"/>
      <c r="AF16" s="242"/>
      <c r="AG16" s="242"/>
      <c r="AH16" s="242"/>
      <c r="AI16" s="242"/>
      <c r="AJ16" s="242"/>
      <c r="AK16" s="243" t="s">
        <v>54</v>
      </c>
      <c r="AL16" s="243"/>
      <c r="AM16" s="243"/>
      <c r="AN16" s="243"/>
      <c r="AO16" s="243"/>
      <c r="AP16" s="243"/>
      <c r="AQ16" s="243"/>
      <c r="AR16" s="243"/>
      <c r="AS16" s="244"/>
      <c r="AT16" s="163"/>
    </row>
    <row r="17" spans="1:48" s="166" customFormat="1" ht="12.75" customHeight="1" x14ac:dyDescent="0.45">
      <c r="A17" s="222"/>
      <c r="B17" s="304"/>
      <c r="C17" s="303"/>
      <c r="D17" s="304"/>
      <c r="E17" s="304"/>
      <c r="F17" s="304"/>
      <c r="G17" s="226"/>
      <c r="H17" s="191"/>
      <c r="I17" s="237" t="s">
        <v>93</v>
      </c>
      <c r="J17" s="237"/>
      <c r="K17" s="237"/>
      <c r="L17" s="237"/>
      <c r="M17" s="237"/>
      <c r="N17" s="238"/>
      <c r="O17" s="239"/>
      <c r="P17" s="240"/>
      <c r="Q17" s="241"/>
      <c r="R17" s="242">
        <v>10</v>
      </c>
      <c r="S17" s="242"/>
      <c r="T17" s="242"/>
      <c r="U17" s="242"/>
      <c r="V17" s="242"/>
      <c r="W17" s="242"/>
      <c r="X17" s="242"/>
      <c r="Y17" s="243" t="s">
        <v>54</v>
      </c>
      <c r="Z17" s="243"/>
      <c r="AA17" s="243"/>
      <c r="AB17" s="243"/>
      <c r="AC17" s="243"/>
      <c r="AD17" s="242">
        <v>10</v>
      </c>
      <c r="AE17" s="242"/>
      <c r="AF17" s="242"/>
      <c r="AG17" s="242"/>
      <c r="AH17" s="242"/>
      <c r="AI17" s="242"/>
      <c r="AJ17" s="242"/>
      <c r="AK17" s="243" t="s">
        <v>54</v>
      </c>
      <c r="AL17" s="243"/>
      <c r="AM17" s="243"/>
      <c r="AN17" s="243"/>
      <c r="AO17" s="243"/>
      <c r="AP17" s="243"/>
      <c r="AQ17" s="243"/>
      <c r="AR17" s="243"/>
      <c r="AS17" s="244"/>
      <c r="AT17" s="163"/>
    </row>
    <row r="18" spans="1:48" s="166" customFormat="1" ht="12.75" customHeight="1" x14ac:dyDescent="0.45">
      <c r="A18" s="222"/>
      <c r="B18" s="304"/>
      <c r="C18" s="303"/>
      <c r="D18" s="304"/>
      <c r="E18" s="304"/>
      <c r="F18" s="304"/>
      <c r="G18" s="226"/>
      <c r="H18" s="191"/>
      <c r="I18" s="237" t="s">
        <v>93</v>
      </c>
      <c r="J18" s="237"/>
      <c r="K18" s="237"/>
      <c r="L18" s="237"/>
      <c r="M18" s="237"/>
      <c r="N18" s="238"/>
      <c r="O18" s="239"/>
      <c r="P18" s="240"/>
      <c r="Q18" s="241"/>
      <c r="R18" s="242">
        <v>10</v>
      </c>
      <c r="S18" s="242"/>
      <c r="T18" s="242"/>
      <c r="U18" s="242"/>
      <c r="V18" s="242"/>
      <c r="W18" s="242"/>
      <c r="X18" s="242"/>
      <c r="Y18" s="243" t="s">
        <v>54</v>
      </c>
      <c r="Z18" s="243"/>
      <c r="AA18" s="243"/>
      <c r="AB18" s="243"/>
      <c r="AC18" s="243"/>
      <c r="AD18" s="242">
        <v>10</v>
      </c>
      <c r="AE18" s="242"/>
      <c r="AF18" s="242"/>
      <c r="AG18" s="242"/>
      <c r="AH18" s="242"/>
      <c r="AI18" s="242"/>
      <c r="AJ18" s="242"/>
      <c r="AK18" s="243" t="s">
        <v>54</v>
      </c>
      <c r="AL18" s="243"/>
      <c r="AM18" s="243"/>
      <c r="AN18" s="243"/>
      <c r="AO18" s="243"/>
      <c r="AP18" s="243"/>
      <c r="AQ18" s="243"/>
      <c r="AR18" s="243"/>
      <c r="AS18" s="244"/>
      <c r="AT18" s="163"/>
    </row>
    <row r="19" spans="1:48" s="166" customFormat="1" ht="12.75" customHeight="1" x14ac:dyDescent="0.45">
      <c r="A19" s="222"/>
      <c r="B19" s="304"/>
      <c r="C19" s="303"/>
      <c r="D19" s="304"/>
      <c r="E19" s="304"/>
      <c r="F19" s="304"/>
      <c r="G19" s="226"/>
      <c r="H19" s="191"/>
      <c r="I19" s="237" t="s">
        <v>93</v>
      </c>
      <c r="J19" s="237"/>
      <c r="K19" s="237"/>
      <c r="L19" s="237"/>
      <c r="M19" s="237"/>
      <c r="N19" s="238"/>
      <c r="O19" s="239"/>
      <c r="P19" s="240"/>
      <c r="Q19" s="241"/>
      <c r="R19" s="242">
        <v>10</v>
      </c>
      <c r="S19" s="242"/>
      <c r="T19" s="242"/>
      <c r="U19" s="242"/>
      <c r="V19" s="242"/>
      <c r="W19" s="242"/>
      <c r="X19" s="242"/>
      <c r="Y19" s="243" t="s">
        <v>54</v>
      </c>
      <c r="Z19" s="243"/>
      <c r="AA19" s="243"/>
      <c r="AB19" s="243"/>
      <c r="AC19" s="243"/>
      <c r="AD19" s="242">
        <v>10</v>
      </c>
      <c r="AE19" s="242"/>
      <c r="AF19" s="242"/>
      <c r="AG19" s="242"/>
      <c r="AH19" s="242"/>
      <c r="AI19" s="242"/>
      <c r="AJ19" s="242"/>
      <c r="AK19" s="243" t="s">
        <v>54</v>
      </c>
      <c r="AL19" s="243"/>
      <c r="AM19" s="243"/>
      <c r="AN19" s="243"/>
      <c r="AO19" s="243"/>
      <c r="AP19" s="243"/>
      <c r="AQ19" s="243"/>
      <c r="AR19" s="243"/>
      <c r="AS19" s="244"/>
      <c r="AT19" s="163"/>
    </row>
    <row r="20" spans="1:48" s="166" customFormat="1" ht="12.75" customHeight="1" thickBot="1" x14ac:dyDescent="0.5">
      <c r="A20" s="222"/>
      <c r="B20" s="304"/>
      <c r="C20" s="303"/>
      <c r="D20" s="304"/>
      <c r="E20" s="304"/>
      <c r="F20" s="304"/>
      <c r="G20" s="183"/>
      <c r="H20" s="191"/>
      <c r="I20" s="183"/>
      <c r="J20" s="183"/>
      <c r="K20" s="183"/>
      <c r="L20" s="192"/>
      <c r="M20" s="192"/>
      <c r="N20" s="192"/>
      <c r="O20" s="192"/>
      <c r="P20" s="192"/>
      <c r="Q20" s="192"/>
      <c r="R20" s="259" t="str">
        <f>H13&amp;" Total"</f>
        <v>NORTH BOUND Total</v>
      </c>
      <c r="S20" s="259"/>
      <c r="T20" s="259"/>
      <c r="U20" s="259"/>
      <c r="V20" s="259"/>
      <c r="W20" s="259"/>
      <c r="X20" s="259"/>
      <c r="Y20" s="259"/>
      <c r="Z20" s="259"/>
      <c r="AA20" s="259"/>
      <c r="AB20" s="259"/>
      <c r="AC20" s="259"/>
      <c r="AD20" s="230"/>
      <c r="AE20" s="231"/>
      <c r="AF20" s="231"/>
      <c r="AG20" s="231"/>
      <c r="AH20" s="231"/>
      <c r="AI20" s="231"/>
      <c r="AJ20" s="231"/>
      <c r="AK20" s="232"/>
      <c r="AL20" s="233"/>
      <c r="AM20" s="233"/>
      <c r="AN20" s="233"/>
      <c r="AO20" s="233"/>
      <c r="AP20" s="181"/>
      <c r="AQ20" s="181"/>
      <c r="AR20" s="181"/>
      <c r="AS20" s="181"/>
      <c r="AT20" s="163"/>
    </row>
    <row r="21" spans="1:48" s="166" customFormat="1" ht="12.75" customHeight="1" thickTop="1" x14ac:dyDescent="0.45">
      <c r="A21" s="222"/>
      <c r="B21" s="304"/>
      <c r="C21" s="303" t="s">
        <v>1479</v>
      </c>
      <c r="D21" s="304"/>
      <c r="E21" s="304"/>
      <c r="F21" s="304"/>
      <c r="G21" s="183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63"/>
    </row>
    <row r="22" spans="1:48" ht="12.5" customHeight="1" x14ac:dyDescent="0.35">
      <c r="A22" s="166"/>
      <c r="B22" s="304" t="s">
        <v>1477</v>
      </c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</row>
    <row r="23" spans="1:48" ht="12.5" customHeight="1" x14ac:dyDescent="0.45">
      <c r="A23" s="191"/>
      <c r="B23" s="223" t="s">
        <v>1476</v>
      </c>
      <c r="C23" s="223"/>
      <c r="D23" s="191"/>
      <c r="E23" s="191"/>
      <c r="F23" s="191"/>
      <c r="G23" s="245" t="s">
        <v>1385</v>
      </c>
      <c r="H23" s="246"/>
      <c r="I23" s="246"/>
      <c r="J23" s="247" t="s">
        <v>246</v>
      </c>
      <c r="K23" s="247"/>
      <c r="L23" s="247"/>
      <c r="M23" s="247"/>
      <c r="N23" s="247"/>
      <c r="O23" s="247"/>
      <c r="P23" s="247"/>
      <c r="Q23" s="247"/>
      <c r="R23" s="202"/>
      <c r="S23" s="202"/>
      <c r="T23" s="203"/>
      <c r="U23" s="203"/>
      <c r="V23" s="203"/>
      <c r="W23" s="225"/>
      <c r="X23" s="202"/>
      <c r="Y23" s="202"/>
      <c r="Z23" s="202"/>
      <c r="AA23" s="202"/>
      <c r="AB23" s="202"/>
      <c r="AC23" s="202"/>
      <c r="AD23" s="202"/>
      <c r="AE23" s="202"/>
      <c r="AF23" s="203"/>
      <c r="AG23" s="225"/>
      <c r="AH23" s="203"/>
      <c r="AI23" s="205"/>
      <c r="AJ23" s="203"/>
      <c r="AK23" s="225"/>
      <c r="AL23" s="225"/>
      <c r="AM23" s="203"/>
      <c r="AN23" s="203"/>
      <c r="AO23" s="203"/>
      <c r="AP23" s="203"/>
      <c r="AQ23" s="203"/>
      <c r="AR23" s="203"/>
      <c r="AS23" s="206"/>
      <c r="AT23" s="207"/>
      <c r="AU23" s="207"/>
      <c r="AV23" s="191"/>
    </row>
    <row r="24" spans="1:48" ht="12.5" customHeight="1" x14ac:dyDescent="0.45">
      <c r="A24" s="191"/>
      <c r="B24" s="223"/>
      <c r="C24" s="223" t="s">
        <v>1478</v>
      </c>
      <c r="D24" s="191"/>
      <c r="E24" s="191"/>
      <c r="F24" s="208" t="s">
        <v>1363</v>
      </c>
      <c r="G24" s="209"/>
      <c r="H24" s="210" t="s">
        <v>1391</v>
      </c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  <c r="AL24" s="211"/>
      <c r="AM24" s="211"/>
      <c r="AN24" s="211"/>
      <c r="AO24" s="211"/>
      <c r="AP24" s="211"/>
      <c r="AQ24" s="211"/>
      <c r="AR24" s="211"/>
      <c r="AS24" s="212"/>
      <c r="AT24" s="207"/>
      <c r="AU24" s="207"/>
      <c r="AV24" s="191"/>
    </row>
    <row r="25" spans="1:48" ht="12.5" customHeight="1" x14ac:dyDescent="0.45">
      <c r="A25" s="191"/>
      <c r="B25" s="223"/>
      <c r="C25" s="223"/>
      <c r="D25" s="191"/>
      <c r="E25" s="191"/>
      <c r="F25" s="191"/>
      <c r="G25" s="190"/>
      <c r="H25" s="213"/>
      <c r="I25" s="234" t="s">
        <v>0</v>
      </c>
      <c r="J25" s="234"/>
      <c r="K25" s="234"/>
      <c r="L25" s="234"/>
      <c r="M25" s="234"/>
      <c r="N25" s="234"/>
      <c r="O25" s="234" t="s">
        <v>1392</v>
      </c>
      <c r="P25" s="234"/>
      <c r="Q25" s="234"/>
      <c r="R25" s="234" t="s">
        <v>1393</v>
      </c>
      <c r="S25" s="234"/>
      <c r="T25" s="234"/>
      <c r="U25" s="234"/>
      <c r="V25" s="234"/>
      <c r="W25" s="234"/>
      <c r="X25" s="234"/>
      <c r="Y25" s="234" t="s">
        <v>1394</v>
      </c>
      <c r="Z25" s="234"/>
      <c r="AA25" s="234"/>
      <c r="AB25" s="234"/>
      <c r="AC25" s="234"/>
      <c r="AD25" s="234" t="s">
        <v>1383</v>
      </c>
      <c r="AE25" s="234"/>
      <c r="AF25" s="234"/>
      <c r="AG25" s="234"/>
      <c r="AH25" s="234"/>
      <c r="AI25" s="234"/>
      <c r="AJ25" s="234"/>
      <c r="AK25" s="234" t="s">
        <v>1395</v>
      </c>
      <c r="AL25" s="234"/>
      <c r="AM25" s="234"/>
      <c r="AN25" s="234"/>
      <c r="AO25" s="234"/>
      <c r="AP25" s="235" t="s">
        <v>468</v>
      </c>
      <c r="AQ25" s="235"/>
      <c r="AR25" s="235"/>
      <c r="AS25" s="236"/>
      <c r="AT25" s="207"/>
      <c r="AU25" s="207"/>
      <c r="AV25" s="191"/>
    </row>
    <row r="26" spans="1:48" ht="12.5" customHeight="1" x14ac:dyDescent="0.45">
      <c r="A26" s="191"/>
      <c r="B26" s="223"/>
      <c r="C26" s="223">
        <v>1</v>
      </c>
      <c r="D26" s="191"/>
      <c r="E26" s="191"/>
      <c r="F26" s="191"/>
      <c r="G26" s="228"/>
      <c r="H26" s="228"/>
      <c r="I26" s="237" t="s">
        <v>93</v>
      </c>
      <c r="J26" s="237"/>
      <c r="K26" s="237"/>
      <c r="L26" s="237"/>
      <c r="M26" s="237"/>
      <c r="N26" s="238"/>
      <c r="O26" s="239"/>
      <c r="P26" s="240"/>
      <c r="Q26" s="241"/>
      <c r="R26" s="242">
        <v>10</v>
      </c>
      <c r="S26" s="242"/>
      <c r="T26" s="242"/>
      <c r="U26" s="242"/>
      <c r="V26" s="242"/>
      <c r="W26" s="242"/>
      <c r="X26" s="242"/>
      <c r="Y26" s="243" t="s">
        <v>54</v>
      </c>
      <c r="Z26" s="243"/>
      <c r="AA26" s="243"/>
      <c r="AB26" s="243"/>
      <c r="AC26" s="243"/>
      <c r="AD26" s="242">
        <v>10</v>
      </c>
      <c r="AE26" s="242"/>
      <c r="AF26" s="242"/>
      <c r="AG26" s="242"/>
      <c r="AH26" s="242"/>
      <c r="AI26" s="242"/>
      <c r="AJ26" s="242"/>
      <c r="AK26" s="243" t="s">
        <v>54</v>
      </c>
      <c r="AL26" s="243"/>
      <c r="AM26" s="243"/>
      <c r="AN26" s="243"/>
      <c r="AO26" s="243"/>
      <c r="AP26" s="243"/>
      <c r="AQ26" s="243"/>
      <c r="AR26" s="243"/>
      <c r="AS26" s="244"/>
      <c r="AT26" s="214"/>
      <c r="AU26" s="207"/>
      <c r="AV26" s="191"/>
    </row>
    <row r="27" spans="1:48" ht="12.5" customHeight="1" thickBot="1" x14ac:dyDescent="0.5">
      <c r="A27" s="191"/>
      <c r="B27" s="223"/>
      <c r="C27" s="223"/>
      <c r="D27" s="215" t="e">
        <f>L27+#REF!+AD27</f>
        <v>#REF!</v>
      </c>
      <c r="E27" s="191"/>
      <c r="F27" s="191"/>
      <c r="G27" s="216"/>
      <c r="H27" s="216"/>
      <c r="I27" s="226"/>
      <c r="J27" s="226"/>
      <c r="K27" s="226"/>
      <c r="L27" s="227"/>
      <c r="M27" s="227"/>
      <c r="N27" s="227"/>
      <c r="O27" s="227"/>
      <c r="P27" s="227"/>
      <c r="Q27" s="227"/>
      <c r="R27" s="227"/>
      <c r="S27" s="227"/>
      <c r="T27" s="226"/>
      <c r="U27" s="226"/>
      <c r="V27" s="226"/>
      <c r="W27" s="226"/>
      <c r="X27" s="226"/>
      <c r="Y27" s="229" t="str">
        <f>H24&amp;" Total"</f>
        <v>Northbound Total</v>
      </c>
      <c r="Z27" s="229"/>
      <c r="AA27" s="229"/>
      <c r="AB27" s="229"/>
      <c r="AC27" s="229"/>
      <c r="AD27" s="230"/>
      <c r="AE27" s="231"/>
      <c r="AF27" s="231"/>
      <c r="AG27" s="231"/>
      <c r="AH27" s="231"/>
      <c r="AI27" s="231"/>
      <c r="AJ27" s="231"/>
      <c r="AK27" s="232"/>
      <c r="AL27" s="233"/>
      <c r="AM27" s="233"/>
      <c r="AN27" s="233"/>
      <c r="AO27" s="233"/>
      <c r="AP27" s="181"/>
      <c r="AQ27" s="181"/>
      <c r="AR27" s="181"/>
      <c r="AS27" s="181"/>
      <c r="AT27" s="214"/>
      <c r="AU27" s="207"/>
      <c r="AV27" s="191"/>
    </row>
    <row r="28" spans="1:48" ht="12.5" customHeight="1" thickTop="1" x14ac:dyDescent="0.45">
      <c r="A28" s="191"/>
      <c r="B28" s="223"/>
      <c r="C28" s="223" t="s">
        <v>1479</v>
      </c>
      <c r="D28" s="215"/>
      <c r="E28" s="191"/>
      <c r="F28" s="191"/>
      <c r="G28" s="216"/>
      <c r="H28" s="216"/>
      <c r="I28" s="216"/>
      <c r="J28" s="216"/>
      <c r="K28" s="216"/>
      <c r="L28" s="217"/>
      <c r="M28" s="217"/>
      <c r="N28" s="217"/>
      <c r="O28" s="217"/>
      <c r="P28" s="217"/>
      <c r="Q28" s="217"/>
      <c r="R28" s="217"/>
      <c r="S28" s="217"/>
      <c r="T28" s="216"/>
      <c r="U28" s="216"/>
      <c r="V28" s="216"/>
      <c r="W28" s="216"/>
      <c r="X28" s="216"/>
      <c r="Y28" s="218"/>
      <c r="Z28" s="218"/>
      <c r="AA28" s="218"/>
      <c r="AB28" s="218"/>
      <c r="AC28" s="218"/>
      <c r="AD28" s="219"/>
      <c r="AE28" s="219"/>
      <c r="AF28" s="219"/>
      <c r="AG28" s="219"/>
      <c r="AH28" s="219"/>
      <c r="AI28" s="219"/>
      <c r="AJ28" s="219"/>
      <c r="AK28" s="217"/>
      <c r="AL28" s="217"/>
      <c r="AM28" s="217"/>
      <c r="AN28" s="217"/>
      <c r="AO28" s="217"/>
      <c r="AP28" s="188"/>
      <c r="AQ28" s="188"/>
      <c r="AR28" s="188"/>
      <c r="AS28" s="188"/>
      <c r="AT28" s="220"/>
      <c r="AU28" s="207"/>
      <c r="AV28" s="191"/>
    </row>
    <row r="29" spans="1:48" ht="12.5" customHeight="1" x14ac:dyDescent="0.35">
      <c r="A29" s="166"/>
      <c r="B29" s="224" t="s">
        <v>1477</v>
      </c>
      <c r="C29" s="224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</row>
    <row r="30" spans="1:48" ht="12.5" customHeight="1" x14ac:dyDescent="0.45">
      <c r="A30" s="191"/>
      <c r="B30" s="223" t="s">
        <v>1476</v>
      </c>
      <c r="C30" s="223"/>
      <c r="D30" s="191"/>
      <c r="E30" s="191"/>
      <c r="F30" s="191"/>
      <c r="G30" s="245" t="s">
        <v>1385</v>
      </c>
      <c r="H30" s="246"/>
      <c r="I30" s="246"/>
      <c r="J30" s="247" t="s">
        <v>246</v>
      </c>
      <c r="K30" s="247"/>
      <c r="L30" s="247"/>
      <c r="M30" s="247"/>
      <c r="N30" s="247"/>
      <c r="O30" s="247"/>
      <c r="P30" s="247"/>
      <c r="Q30" s="247"/>
      <c r="R30" s="202"/>
      <c r="S30" s="202"/>
      <c r="T30" s="203"/>
      <c r="U30" s="203"/>
      <c r="V30" s="203"/>
      <c r="W30" s="225"/>
      <c r="X30" s="202"/>
      <c r="Y30" s="202"/>
      <c r="Z30" s="202"/>
      <c r="AA30" s="202"/>
      <c r="AB30" s="202"/>
      <c r="AC30" s="202"/>
      <c r="AD30" s="202"/>
      <c r="AE30" s="202"/>
      <c r="AF30" s="203"/>
      <c r="AG30" s="225"/>
      <c r="AH30" s="203"/>
      <c r="AI30" s="205"/>
      <c r="AJ30" s="203"/>
      <c r="AK30" s="225"/>
      <c r="AL30" s="225"/>
      <c r="AM30" s="203"/>
      <c r="AN30" s="203"/>
      <c r="AO30" s="203"/>
      <c r="AP30" s="203"/>
      <c r="AQ30" s="203"/>
      <c r="AR30" s="203"/>
      <c r="AS30" s="206"/>
      <c r="AT30" s="207"/>
      <c r="AU30" s="207"/>
      <c r="AV30" s="191"/>
    </row>
    <row r="31" spans="1:48" ht="12.5" customHeight="1" x14ac:dyDescent="0.45">
      <c r="A31" s="191"/>
      <c r="B31" s="223"/>
      <c r="C31" s="223" t="s">
        <v>1478</v>
      </c>
      <c r="D31" s="191"/>
      <c r="E31" s="191"/>
      <c r="F31"/>
      <c r="G31" s="209"/>
      <c r="H31" s="210" t="s">
        <v>1391</v>
      </c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  <c r="AP31" s="211"/>
      <c r="AQ31" s="211"/>
      <c r="AR31" s="211"/>
      <c r="AS31" s="212"/>
      <c r="AT31" s="207"/>
      <c r="AU31" s="207"/>
      <c r="AV31" s="191"/>
    </row>
    <row r="32" spans="1:48" ht="12.5" customHeight="1" x14ac:dyDescent="0.45">
      <c r="A32" s="191"/>
      <c r="B32" s="223"/>
      <c r="C32" s="223"/>
      <c r="D32" s="191"/>
      <c r="E32" s="191"/>
      <c r="F32" s="191"/>
      <c r="G32" s="190"/>
      <c r="H32" s="213"/>
      <c r="I32" s="234" t="s">
        <v>0</v>
      </c>
      <c r="J32" s="234"/>
      <c r="K32" s="234"/>
      <c r="L32" s="234"/>
      <c r="M32" s="234"/>
      <c r="N32" s="234"/>
      <c r="O32" s="234" t="s">
        <v>1392</v>
      </c>
      <c r="P32" s="234"/>
      <c r="Q32" s="234"/>
      <c r="R32" s="234" t="s">
        <v>1393</v>
      </c>
      <c r="S32" s="234"/>
      <c r="T32" s="234"/>
      <c r="U32" s="234"/>
      <c r="V32" s="234"/>
      <c r="W32" s="234"/>
      <c r="X32" s="234"/>
      <c r="Y32" s="234" t="s">
        <v>1394</v>
      </c>
      <c r="Z32" s="234"/>
      <c r="AA32" s="234"/>
      <c r="AB32" s="234"/>
      <c r="AC32" s="234"/>
      <c r="AD32" s="234" t="s">
        <v>1383</v>
      </c>
      <c r="AE32" s="234"/>
      <c r="AF32" s="234"/>
      <c r="AG32" s="234"/>
      <c r="AH32" s="234"/>
      <c r="AI32" s="234"/>
      <c r="AJ32" s="234"/>
      <c r="AK32" s="234" t="s">
        <v>1395</v>
      </c>
      <c r="AL32" s="234"/>
      <c r="AM32" s="234"/>
      <c r="AN32" s="234"/>
      <c r="AO32" s="234"/>
      <c r="AP32" s="235" t="s">
        <v>468</v>
      </c>
      <c r="AQ32" s="235"/>
      <c r="AR32" s="235"/>
      <c r="AS32" s="236"/>
      <c r="AT32" s="207"/>
      <c r="AU32" s="207"/>
      <c r="AV32" s="191"/>
    </row>
    <row r="33" spans="1:48" ht="12.5" customHeight="1" x14ac:dyDescent="0.45">
      <c r="A33" s="191"/>
      <c r="B33" s="223"/>
      <c r="C33" s="223">
        <v>1</v>
      </c>
      <c r="D33" s="191"/>
      <c r="E33" s="191"/>
      <c r="F33" s="191"/>
      <c r="G33" s="228"/>
      <c r="H33" s="228"/>
      <c r="I33" s="237" t="s">
        <v>93</v>
      </c>
      <c r="J33" s="237"/>
      <c r="K33" s="237"/>
      <c r="L33" s="237"/>
      <c r="M33" s="237"/>
      <c r="N33" s="238"/>
      <c r="O33" s="239"/>
      <c r="P33" s="240"/>
      <c r="Q33" s="241"/>
      <c r="R33" s="242">
        <v>10</v>
      </c>
      <c r="S33" s="242"/>
      <c r="T33" s="242"/>
      <c r="U33" s="242"/>
      <c r="V33" s="242"/>
      <c r="W33" s="242"/>
      <c r="X33" s="242"/>
      <c r="Y33" s="243" t="s">
        <v>54</v>
      </c>
      <c r="Z33" s="243"/>
      <c r="AA33" s="243"/>
      <c r="AB33" s="243"/>
      <c r="AC33" s="243"/>
      <c r="AD33" s="242">
        <v>10</v>
      </c>
      <c r="AE33" s="242"/>
      <c r="AF33" s="242"/>
      <c r="AG33" s="242"/>
      <c r="AH33" s="242"/>
      <c r="AI33" s="242"/>
      <c r="AJ33" s="242"/>
      <c r="AK33" s="243" t="s">
        <v>54</v>
      </c>
      <c r="AL33" s="243"/>
      <c r="AM33" s="243"/>
      <c r="AN33" s="243"/>
      <c r="AO33" s="243"/>
      <c r="AP33" s="243"/>
      <c r="AQ33" s="243"/>
      <c r="AR33" s="243"/>
      <c r="AS33" s="244"/>
      <c r="AT33" s="214"/>
      <c r="AU33" s="207"/>
      <c r="AV33" s="191"/>
    </row>
    <row r="34" spans="1:48" ht="12.5" customHeight="1" thickBot="1" x14ac:dyDescent="0.5">
      <c r="A34" s="191"/>
      <c r="B34" s="223"/>
      <c r="C34" s="223"/>
      <c r="D34" s="215"/>
      <c r="E34" s="191"/>
      <c r="F34" s="191"/>
      <c r="G34" s="216"/>
      <c r="H34" s="216"/>
      <c r="I34" s="226"/>
      <c r="J34" s="226"/>
      <c r="K34" s="226"/>
      <c r="L34" s="227"/>
      <c r="M34" s="227"/>
      <c r="N34" s="227"/>
      <c r="O34" s="227"/>
      <c r="P34" s="227"/>
      <c r="Q34" s="227"/>
      <c r="R34" s="227"/>
      <c r="S34" s="227"/>
      <c r="T34" s="226"/>
      <c r="U34" s="226"/>
      <c r="V34" s="226"/>
      <c r="W34" s="226"/>
      <c r="X34" s="226"/>
      <c r="Y34" s="229" t="str">
        <f>H31&amp;" Total"</f>
        <v>Northbound Total</v>
      </c>
      <c r="Z34" s="229"/>
      <c r="AA34" s="229"/>
      <c r="AB34" s="229"/>
      <c r="AC34" s="229"/>
      <c r="AD34" s="230"/>
      <c r="AE34" s="231"/>
      <c r="AF34" s="231"/>
      <c r="AG34" s="231"/>
      <c r="AH34" s="231"/>
      <c r="AI34" s="231"/>
      <c r="AJ34" s="231"/>
      <c r="AK34" s="232"/>
      <c r="AL34" s="233"/>
      <c r="AM34" s="233"/>
      <c r="AN34" s="233"/>
      <c r="AO34" s="233"/>
      <c r="AP34" s="181"/>
      <c r="AQ34" s="181"/>
      <c r="AR34" s="181"/>
      <c r="AS34" s="181"/>
      <c r="AT34" s="214"/>
      <c r="AU34" s="207"/>
      <c r="AV34" s="191"/>
    </row>
    <row r="35" spans="1:48" ht="12.5" customHeight="1" thickTop="1" x14ac:dyDescent="0.45">
      <c r="A35" s="191"/>
      <c r="B35" s="223"/>
      <c r="C35" s="223" t="s">
        <v>1479</v>
      </c>
      <c r="D35" s="215"/>
      <c r="E35" s="191"/>
      <c r="F35" s="191"/>
      <c r="G35" s="216"/>
      <c r="H35" s="216"/>
      <c r="I35" s="216"/>
      <c r="J35" s="216"/>
      <c r="K35" s="216"/>
      <c r="L35" s="217"/>
      <c r="M35" s="217"/>
      <c r="N35" s="217"/>
      <c r="O35" s="217"/>
      <c r="P35" s="217"/>
      <c r="Q35" s="217"/>
      <c r="R35" s="217"/>
      <c r="S35" s="217"/>
      <c r="T35" s="216"/>
      <c r="U35" s="216"/>
      <c r="V35" s="216"/>
      <c r="W35" s="216"/>
      <c r="X35" s="216"/>
      <c r="Y35" s="218"/>
      <c r="Z35" s="218"/>
      <c r="AA35" s="218"/>
      <c r="AB35" s="218"/>
      <c r="AC35" s="218"/>
      <c r="AD35" s="219"/>
      <c r="AE35" s="219"/>
      <c r="AF35" s="219"/>
      <c r="AG35" s="219"/>
      <c r="AH35" s="219"/>
      <c r="AI35" s="219"/>
      <c r="AJ35" s="219"/>
      <c r="AK35" s="217"/>
      <c r="AL35" s="217"/>
      <c r="AM35" s="217"/>
      <c r="AN35" s="217"/>
      <c r="AO35" s="217"/>
      <c r="AP35" s="188"/>
      <c r="AQ35" s="188"/>
      <c r="AR35" s="188"/>
      <c r="AS35" s="188"/>
      <c r="AT35" s="220"/>
      <c r="AU35" s="207"/>
      <c r="AV35" s="191"/>
    </row>
    <row r="36" spans="1:48" ht="12.5" customHeight="1" x14ac:dyDescent="0.35">
      <c r="A36" s="166"/>
      <c r="B36" s="224" t="s">
        <v>1477</v>
      </c>
      <c r="C36" s="224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</row>
    <row r="37" spans="1:48" ht="12.5" customHeight="1" x14ac:dyDescent="0.45">
      <c r="C37" s="303"/>
      <c r="G37" s="183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63"/>
      <c r="AU37" s="166"/>
      <c r="AV37" s="166"/>
    </row>
    <row r="38" spans="1:48" ht="12.5" customHeight="1" x14ac:dyDescent="0.45">
      <c r="C38" s="303"/>
      <c r="G38" s="183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63"/>
      <c r="AU38" s="164"/>
      <c r="AV38" s="164"/>
    </row>
    <row r="39" spans="1:48" ht="12.5" customHeight="1" x14ac:dyDescent="0.45">
      <c r="C39" s="303"/>
      <c r="D39" s="302"/>
      <c r="G39" s="183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</row>
    <row r="40" spans="1:48" ht="12.5" customHeight="1" x14ac:dyDescent="0.45">
      <c r="C40" s="303"/>
      <c r="D40" s="305"/>
      <c r="G40" s="183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62"/>
      <c r="AU40" s="162"/>
      <c r="AV40" s="162"/>
    </row>
    <row r="41" spans="1:48" ht="12.5" customHeight="1" x14ac:dyDescent="0.35">
      <c r="C41" s="30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</row>
    <row r="42" spans="1:48" ht="12.5" customHeight="1" x14ac:dyDescent="0.45">
      <c r="C42" s="303"/>
      <c r="G42" s="272"/>
      <c r="H42" s="272"/>
      <c r="I42" s="272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  <c r="AF42" s="272"/>
      <c r="AG42" s="272"/>
      <c r="AH42" s="272"/>
      <c r="AI42" s="272"/>
      <c r="AJ42" s="272"/>
      <c r="AK42" s="272"/>
      <c r="AL42" s="272"/>
      <c r="AM42" s="272"/>
      <c r="AN42" s="272"/>
      <c r="AO42" s="272"/>
      <c r="AP42" s="272"/>
      <c r="AQ42" s="272"/>
      <c r="AR42" s="272"/>
      <c r="AS42" s="272"/>
      <c r="AT42" s="162"/>
      <c r="AU42" s="162"/>
      <c r="AV42" s="162"/>
    </row>
    <row r="43" spans="1:48" ht="12.5" customHeight="1" x14ac:dyDescent="0.35">
      <c r="C43" s="303"/>
      <c r="G43" s="273" t="s">
        <v>92</v>
      </c>
      <c r="H43" s="273"/>
      <c r="I43" s="273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85"/>
      <c r="AN43" s="185"/>
      <c r="AO43" s="185"/>
      <c r="AP43" s="185"/>
      <c r="AQ43" s="185"/>
      <c r="AR43" s="185"/>
      <c r="AS43" s="185"/>
    </row>
    <row r="44" spans="1:48" ht="12.5" customHeight="1" x14ac:dyDescent="0.35">
      <c r="C44" s="303"/>
      <c r="G44" s="193"/>
      <c r="H44" s="260"/>
      <c r="I44" s="260"/>
      <c r="J44" s="260"/>
      <c r="K44" s="194"/>
      <c r="L44" s="262"/>
      <c r="M44" s="262"/>
      <c r="N44" s="262"/>
      <c r="O44" s="262"/>
      <c r="P44" s="262"/>
      <c r="Q44" s="262"/>
      <c r="R44" s="262"/>
      <c r="S44" s="262"/>
      <c r="T44" s="183"/>
      <c r="U44" s="260"/>
      <c r="V44" s="260"/>
      <c r="W44" s="260"/>
      <c r="X44" s="194"/>
      <c r="Y44" s="262"/>
      <c r="Z44" s="262"/>
      <c r="AA44" s="262"/>
      <c r="AB44" s="262"/>
      <c r="AC44" s="262"/>
      <c r="AD44" s="262"/>
      <c r="AE44" s="262"/>
      <c r="AF44" s="262"/>
      <c r="AG44" s="183"/>
      <c r="AH44" s="260"/>
      <c r="AI44" s="260"/>
      <c r="AJ44" s="260"/>
      <c r="AK44" s="194"/>
      <c r="AL44" s="262"/>
      <c r="AM44" s="262"/>
      <c r="AN44" s="262"/>
      <c r="AO44" s="262"/>
      <c r="AP44" s="262"/>
      <c r="AQ44" s="262"/>
      <c r="AR44" s="262"/>
      <c r="AS44" s="262"/>
    </row>
    <row r="45" spans="1:48" ht="12.5" customHeight="1" x14ac:dyDescent="0.35">
      <c r="C45" s="303"/>
      <c r="G45" s="193"/>
      <c r="H45" s="261"/>
      <c r="I45" s="261"/>
      <c r="J45" s="261"/>
      <c r="K45" s="194"/>
      <c r="L45" s="262"/>
      <c r="M45" s="262"/>
      <c r="N45" s="262"/>
      <c r="O45" s="262"/>
      <c r="P45" s="262"/>
      <c r="Q45" s="262"/>
      <c r="R45" s="262"/>
      <c r="S45" s="262"/>
      <c r="T45" s="183"/>
      <c r="U45" s="261"/>
      <c r="V45" s="261"/>
      <c r="W45" s="261"/>
      <c r="X45" s="194"/>
      <c r="Y45" s="262"/>
      <c r="Z45" s="262"/>
      <c r="AA45" s="262"/>
      <c r="AB45" s="262"/>
      <c r="AC45" s="262"/>
      <c r="AD45" s="262"/>
      <c r="AE45" s="262"/>
      <c r="AF45" s="262"/>
      <c r="AG45" s="183"/>
      <c r="AH45" s="261"/>
      <c r="AI45" s="261"/>
      <c r="AJ45" s="261"/>
      <c r="AK45" s="194"/>
      <c r="AL45" s="262"/>
      <c r="AM45" s="262"/>
      <c r="AN45" s="262"/>
      <c r="AO45" s="262"/>
      <c r="AP45" s="262"/>
      <c r="AQ45" s="262"/>
      <c r="AR45" s="262"/>
      <c r="AS45" s="262"/>
    </row>
    <row r="46" spans="1:48" ht="12.5" customHeight="1" x14ac:dyDescent="0.35">
      <c r="C46" s="303"/>
      <c r="G46" s="193"/>
      <c r="H46" s="260"/>
      <c r="I46" s="260"/>
      <c r="J46" s="260"/>
      <c r="K46" s="194"/>
      <c r="L46" s="262"/>
      <c r="M46" s="262"/>
      <c r="N46" s="262"/>
      <c r="O46" s="262"/>
      <c r="P46" s="262"/>
      <c r="Q46" s="262"/>
      <c r="R46" s="262"/>
      <c r="S46" s="262"/>
      <c r="T46" s="183"/>
      <c r="U46" s="260"/>
      <c r="V46" s="260"/>
      <c r="W46" s="260"/>
      <c r="X46" s="194"/>
      <c r="Y46" s="262"/>
      <c r="Z46" s="262"/>
      <c r="AA46" s="262"/>
      <c r="AB46" s="262"/>
      <c r="AC46" s="262"/>
      <c r="AD46" s="262"/>
      <c r="AE46" s="262"/>
      <c r="AF46" s="262"/>
      <c r="AG46" s="183"/>
      <c r="AH46" s="260"/>
      <c r="AI46" s="260"/>
      <c r="AJ46" s="260"/>
      <c r="AK46" s="194"/>
      <c r="AL46" s="262"/>
      <c r="AM46" s="262"/>
      <c r="AN46" s="262"/>
      <c r="AO46" s="262"/>
      <c r="AP46" s="262"/>
      <c r="AQ46" s="262"/>
      <c r="AR46" s="262"/>
      <c r="AS46" s="262"/>
    </row>
    <row r="47" spans="1:48" ht="12.5" customHeight="1" x14ac:dyDescent="0.35">
      <c r="C47" s="303"/>
      <c r="G47" s="193"/>
      <c r="H47" s="261"/>
      <c r="I47" s="261"/>
      <c r="J47" s="261"/>
      <c r="K47" s="194"/>
      <c r="L47" s="262"/>
      <c r="M47" s="262"/>
      <c r="N47" s="262"/>
      <c r="O47" s="262"/>
      <c r="P47" s="262"/>
      <c r="Q47" s="262"/>
      <c r="R47" s="262"/>
      <c r="S47" s="262"/>
      <c r="T47" s="183"/>
      <c r="U47" s="261"/>
      <c r="V47" s="261"/>
      <c r="W47" s="261"/>
      <c r="X47" s="194"/>
      <c r="Y47" s="262"/>
      <c r="Z47" s="262"/>
      <c r="AA47" s="262"/>
      <c r="AB47" s="262"/>
      <c r="AC47" s="262"/>
      <c r="AD47" s="262"/>
      <c r="AE47" s="262"/>
      <c r="AF47" s="262"/>
      <c r="AG47" s="183"/>
      <c r="AH47" s="261"/>
      <c r="AI47" s="261"/>
      <c r="AJ47" s="261"/>
      <c r="AK47" s="194"/>
      <c r="AL47" s="262"/>
      <c r="AM47" s="262"/>
      <c r="AN47" s="262"/>
      <c r="AO47" s="262"/>
      <c r="AP47" s="262"/>
      <c r="AQ47" s="262"/>
      <c r="AR47" s="262"/>
      <c r="AS47" s="262"/>
    </row>
    <row r="48" spans="1:48" ht="12.5" customHeight="1" thickBot="1" x14ac:dyDescent="0.4">
      <c r="C48" s="303"/>
      <c r="G48" s="193"/>
      <c r="H48" s="270"/>
      <c r="I48" s="270"/>
      <c r="J48" s="270"/>
      <c r="K48" s="270"/>
      <c r="L48" s="267"/>
      <c r="M48" s="267"/>
      <c r="N48" s="267"/>
      <c r="O48" s="267"/>
      <c r="P48" s="267"/>
      <c r="Q48" s="267"/>
      <c r="R48" s="267"/>
      <c r="S48" s="267"/>
      <c r="T48" s="183"/>
      <c r="U48" s="270"/>
      <c r="V48" s="270"/>
      <c r="W48" s="270"/>
      <c r="X48" s="270"/>
      <c r="Y48" s="267"/>
      <c r="Z48" s="267"/>
      <c r="AA48" s="267"/>
      <c r="AB48" s="267"/>
      <c r="AC48" s="267"/>
      <c r="AD48" s="267"/>
      <c r="AE48" s="267"/>
      <c r="AF48" s="267"/>
      <c r="AG48" s="183"/>
      <c r="AH48" s="270"/>
      <c r="AI48" s="270"/>
      <c r="AJ48" s="270"/>
      <c r="AK48" s="270"/>
      <c r="AL48" s="267"/>
      <c r="AM48" s="267"/>
      <c r="AN48" s="267"/>
      <c r="AO48" s="267"/>
      <c r="AP48" s="267"/>
      <c r="AQ48" s="267"/>
      <c r="AR48" s="267"/>
      <c r="AS48" s="267"/>
    </row>
    <row r="49" spans="3:47" ht="12.5" customHeight="1" thickTop="1" x14ac:dyDescent="0.35">
      <c r="C49" s="303"/>
      <c r="G49" s="193"/>
      <c r="H49" s="263" t="s">
        <v>1383</v>
      </c>
      <c r="I49" s="263"/>
      <c r="J49" s="263"/>
      <c r="K49" s="263"/>
      <c r="L49" s="265">
        <f>SUM(L44:S48)</f>
        <v>0</v>
      </c>
      <c r="M49" s="266"/>
      <c r="N49" s="266"/>
      <c r="O49" s="266"/>
      <c r="P49" s="266"/>
      <c r="Q49" s="266"/>
      <c r="R49" s="266"/>
      <c r="S49" s="266"/>
      <c r="T49" s="193"/>
      <c r="U49" s="263" t="s">
        <v>1383</v>
      </c>
      <c r="V49" s="263"/>
      <c r="W49" s="263"/>
      <c r="X49" s="263"/>
      <c r="Y49" s="265">
        <f>SUM(Y44:AF48)</f>
        <v>0</v>
      </c>
      <c r="Z49" s="266"/>
      <c r="AA49" s="266"/>
      <c r="AB49" s="266"/>
      <c r="AC49" s="266"/>
      <c r="AD49" s="266"/>
      <c r="AE49" s="266"/>
      <c r="AF49" s="266"/>
      <c r="AG49" s="193"/>
      <c r="AH49" s="263" t="s">
        <v>1383</v>
      </c>
      <c r="AI49" s="263"/>
      <c r="AJ49" s="263"/>
      <c r="AK49" s="263"/>
      <c r="AL49" s="265">
        <f>SUM(AL44:AS48)</f>
        <v>0</v>
      </c>
      <c r="AM49" s="266"/>
      <c r="AN49" s="266"/>
      <c r="AO49" s="266"/>
      <c r="AP49" s="266"/>
      <c r="AQ49" s="266"/>
      <c r="AR49" s="266"/>
      <c r="AS49" s="266"/>
    </row>
    <row r="50" spans="3:47" ht="12.5" customHeight="1" x14ac:dyDescent="0.35">
      <c r="C50" s="303"/>
      <c r="G50" s="197"/>
      <c r="H50" s="197"/>
      <c r="I50" s="197"/>
      <c r="J50" s="197"/>
      <c r="K50" s="197"/>
      <c r="L50" s="197"/>
      <c r="M50" s="197"/>
      <c r="N50" s="197"/>
      <c r="O50" s="197"/>
      <c r="P50" s="197"/>
      <c r="Q50" s="197"/>
      <c r="R50" s="197"/>
      <c r="S50" s="197"/>
      <c r="T50" s="197"/>
      <c r="U50" s="197"/>
      <c r="V50" s="197"/>
      <c r="W50" s="197"/>
      <c r="X50" s="197"/>
      <c r="Y50" s="197"/>
      <c r="Z50" s="197"/>
      <c r="AA50" s="197"/>
      <c r="AB50" s="197"/>
      <c r="AC50" s="197"/>
      <c r="AD50" s="197"/>
      <c r="AE50" s="197"/>
      <c r="AF50" s="197"/>
      <c r="AG50" s="197"/>
      <c r="AH50" s="197"/>
      <c r="AI50" s="197"/>
      <c r="AJ50" s="197"/>
      <c r="AK50" s="197"/>
      <c r="AL50" s="197"/>
      <c r="AM50" s="197"/>
      <c r="AN50" s="197"/>
      <c r="AO50" s="197"/>
      <c r="AP50" s="197"/>
      <c r="AQ50" s="197"/>
      <c r="AR50" s="197"/>
      <c r="AS50" s="197"/>
    </row>
    <row r="51" spans="3:47" ht="12.5" customHeight="1" x14ac:dyDescent="0.35">
      <c r="C51" s="303"/>
      <c r="G51" s="193"/>
      <c r="H51" s="193"/>
      <c r="I51" s="193"/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3"/>
      <c r="AJ51" s="193"/>
      <c r="AK51" s="193"/>
      <c r="AL51" s="193"/>
      <c r="AM51" s="193"/>
      <c r="AN51" s="193"/>
      <c r="AO51" s="193"/>
      <c r="AP51" s="193"/>
      <c r="AQ51" s="193"/>
      <c r="AR51" s="193"/>
      <c r="AS51" s="193"/>
      <c r="AT51" s="166"/>
      <c r="AU51" s="166"/>
    </row>
    <row r="52" spans="3:47" ht="12.5" customHeight="1" thickBot="1" x14ac:dyDescent="0.4"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3"/>
      <c r="AM52" s="193"/>
      <c r="AN52" s="193"/>
      <c r="AO52" s="193"/>
      <c r="AP52" s="193"/>
      <c r="AQ52" s="193"/>
      <c r="AR52" s="193"/>
      <c r="AS52" s="193"/>
    </row>
    <row r="53" spans="3:47" ht="12.5" customHeight="1" thickTop="1" x14ac:dyDescent="0.35"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263" t="s">
        <v>91</v>
      </c>
      <c r="AI53" s="263"/>
      <c r="AJ53" s="263"/>
      <c r="AK53" s="263"/>
      <c r="AL53" s="269" t="e">
        <f>SUM($D$12:D52)</f>
        <v>#REF!</v>
      </c>
      <c r="AM53" s="269"/>
      <c r="AN53" s="269"/>
      <c r="AO53" s="269"/>
      <c r="AP53" s="269"/>
      <c r="AQ53" s="269"/>
      <c r="AR53" s="269"/>
      <c r="AS53" s="269"/>
    </row>
    <row r="54" spans="3:47" ht="12.5" customHeight="1" x14ac:dyDescent="0.35"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93"/>
      <c r="AJ54" s="193"/>
      <c r="AK54" s="193"/>
      <c r="AL54" s="193"/>
      <c r="AM54" s="193"/>
      <c r="AN54" s="193"/>
      <c r="AO54" s="193"/>
      <c r="AP54" s="193"/>
      <c r="AQ54" s="193"/>
      <c r="AR54" s="193"/>
      <c r="AS54" s="193"/>
    </row>
    <row r="55" spans="3:47" ht="12.5" customHeight="1" x14ac:dyDescent="0.45">
      <c r="G55" s="18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263" t="s">
        <v>1388</v>
      </c>
      <c r="AI55" s="263"/>
      <c r="AJ55" s="263"/>
      <c r="AK55" s="263"/>
      <c r="AL55" s="264"/>
      <c r="AM55" s="264"/>
      <c r="AN55" s="264"/>
      <c r="AO55" s="264"/>
      <c r="AP55" s="264"/>
      <c r="AQ55" s="264"/>
      <c r="AR55" s="264"/>
      <c r="AS55" s="264"/>
      <c r="AT55" s="166"/>
      <c r="AU55" s="166"/>
    </row>
    <row r="56" spans="3:47" ht="12.5" customHeight="1" x14ac:dyDescent="0.45"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66"/>
      <c r="AU56" s="166"/>
    </row>
    <row r="57" spans="3:47" ht="12.5" customHeight="1" x14ac:dyDescent="0.45"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81"/>
      <c r="AL57" s="181"/>
      <c r="AM57" s="181"/>
      <c r="AN57" s="181"/>
      <c r="AO57" s="181"/>
      <c r="AP57" s="181"/>
      <c r="AQ57" s="181"/>
      <c r="AR57" s="181"/>
      <c r="AS57" s="181"/>
      <c r="AT57" s="166"/>
      <c r="AU57" s="166"/>
    </row>
    <row r="58" spans="3:47" ht="12.5" customHeight="1" x14ac:dyDescent="0.35"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66"/>
      <c r="AU58" s="166"/>
    </row>
    <row r="59" spans="3:47" ht="12.5" customHeight="1" x14ac:dyDescent="0.35">
      <c r="G59" s="173"/>
      <c r="H59" s="254" t="s">
        <v>1389</v>
      </c>
      <c r="I59" s="254"/>
      <c r="J59" s="254"/>
      <c r="K59" s="254"/>
      <c r="L59" s="268"/>
      <c r="M59" s="268"/>
      <c r="N59" s="268"/>
      <c r="O59" s="268"/>
      <c r="P59" s="268"/>
      <c r="Q59" s="268"/>
      <c r="R59" s="268"/>
      <c r="S59" s="268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254" t="s">
        <v>1390</v>
      </c>
      <c r="AI59" s="254"/>
      <c r="AJ59" s="254"/>
      <c r="AK59" s="254"/>
      <c r="AL59" s="268"/>
      <c r="AM59" s="268"/>
      <c r="AN59" s="268"/>
      <c r="AO59" s="268"/>
      <c r="AP59" s="268"/>
      <c r="AQ59" s="268"/>
      <c r="AR59" s="268"/>
      <c r="AS59" s="268"/>
    </row>
  </sheetData>
  <mergeCells count="154">
    <mergeCell ref="AP25:AS25"/>
    <mergeCell ref="I26:N26"/>
    <mergeCell ref="O26:Q26"/>
    <mergeCell ref="R26:X26"/>
    <mergeCell ref="Y26:AC26"/>
    <mergeCell ref="AD26:AJ26"/>
    <mergeCell ref="AK26:AO26"/>
    <mergeCell ref="AP26:AS26"/>
    <mergeCell ref="AP18:AS18"/>
    <mergeCell ref="G30:I30"/>
    <mergeCell ref="J30:Q30"/>
    <mergeCell ref="I32:N32"/>
    <mergeCell ref="O32:Q32"/>
    <mergeCell ref="R32:X32"/>
    <mergeCell ref="Y32:AC32"/>
    <mergeCell ref="AD32:AJ32"/>
    <mergeCell ref="AK32:AO32"/>
    <mergeCell ref="G23:I23"/>
    <mergeCell ref="J23:Q23"/>
    <mergeCell ref="I25:N25"/>
    <mergeCell ref="O25:Q25"/>
    <mergeCell ref="R25:X25"/>
    <mergeCell ref="Y25:AC25"/>
    <mergeCell ref="AD25:AJ25"/>
    <mergeCell ref="I17:N17"/>
    <mergeCell ref="O17:Q17"/>
    <mergeCell ref="R17:X17"/>
    <mergeCell ref="Y17:AC17"/>
    <mergeCell ref="AD17:AJ17"/>
    <mergeCell ref="AK17:AO17"/>
    <mergeCell ref="AP17:AS17"/>
    <mergeCell ref="I19:N19"/>
    <mergeCell ref="O19:Q19"/>
    <mergeCell ref="R19:X19"/>
    <mergeCell ref="Y19:AC19"/>
    <mergeCell ref="AD19:AJ19"/>
    <mergeCell ref="AK19:AO19"/>
    <mergeCell ref="AP19:AS19"/>
    <mergeCell ref="I18:N18"/>
    <mergeCell ref="I16:N16"/>
    <mergeCell ref="O16:Q16"/>
    <mergeCell ref="R16:X16"/>
    <mergeCell ref="Y16:AC16"/>
    <mergeCell ref="AD16:AJ16"/>
    <mergeCell ref="AK16:AO16"/>
    <mergeCell ref="AP16:AS16"/>
    <mergeCell ref="I15:N15"/>
    <mergeCell ref="O15:Q15"/>
    <mergeCell ref="R15:X15"/>
    <mergeCell ref="Y15:AC15"/>
    <mergeCell ref="AD15:AJ15"/>
    <mergeCell ref="AK15:AO15"/>
    <mergeCell ref="AP15:AS15"/>
    <mergeCell ref="AK25:AO25"/>
    <mergeCell ref="Y27:AC27"/>
    <mergeCell ref="AD27:AJ27"/>
    <mergeCell ref="AK27:AO27"/>
    <mergeCell ref="AP32:AS32"/>
    <mergeCell ref="I33:N33"/>
    <mergeCell ref="O33:Q33"/>
    <mergeCell ref="R33:X33"/>
    <mergeCell ref="Y33:AC33"/>
    <mergeCell ref="AD33:AJ33"/>
    <mergeCell ref="AK33:AO33"/>
    <mergeCell ref="AP33:AS33"/>
    <mergeCell ref="AK34:AO34"/>
    <mergeCell ref="Y34:AC34"/>
    <mergeCell ref="AD34:AJ34"/>
    <mergeCell ref="AL7:AS7"/>
    <mergeCell ref="AL8:AS8"/>
    <mergeCell ref="AL9:AS9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L9:S9"/>
    <mergeCell ref="Y7:AF7"/>
    <mergeCell ref="Y8:AF8"/>
    <mergeCell ref="Y9:AF9"/>
    <mergeCell ref="G43:I43"/>
    <mergeCell ref="AH44:AJ44"/>
    <mergeCell ref="AH45:AJ45"/>
    <mergeCell ref="AL45:AS45"/>
    <mergeCell ref="AL44:AS44"/>
    <mergeCell ref="H44:J44"/>
    <mergeCell ref="H45:J45"/>
    <mergeCell ref="J12:Q12"/>
    <mergeCell ref="G12:I12"/>
    <mergeCell ref="H13:S13"/>
    <mergeCell ref="G41:AS41"/>
    <mergeCell ref="G42:AS42"/>
    <mergeCell ref="I14:N14"/>
    <mergeCell ref="U13:AF13"/>
    <mergeCell ref="AH13:AS13"/>
    <mergeCell ref="AP14:AS14"/>
    <mergeCell ref="AH59:AK59"/>
    <mergeCell ref="AL59:AS59"/>
    <mergeCell ref="AL53:AS53"/>
    <mergeCell ref="AH53:AK53"/>
    <mergeCell ref="H49:K49"/>
    <mergeCell ref="L49:S49"/>
    <mergeCell ref="U49:X49"/>
    <mergeCell ref="Y49:AF49"/>
    <mergeCell ref="AH49:AK49"/>
    <mergeCell ref="Y45:AF45"/>
    <mergeCell ref="L44:S44"/>
    <mergeCell ref="Y44:AF44"/>
    <mergeCell ref="H59:K59"/>
    <mergeCell ref="L59:S59"/>
    <mergeCell ref="Y48:AF48"/>
    <mergeCell ref="H48:K48"/>
    <mergeCell ref="L48:S48"/>
    <mergeCell ref="U48:X48"/>
    <mergeCell ref="Y46:AF46"/>
    <mergeCell ref="L47:S47"/>
    <mergeCell ref="Y47:AF47"/>
    <mergeCell ref="H47:J47"/>
    <mergeCell ref="U47:W47"/>
    <mergeCell ref="AH46:AJ46"/>
    <mergeCell ref="AH55:AK55"/>
    <mergeCell ref="AL55:AS55"/>
    <mergeCell ref="AL49:AS49"/>
    <mergeCell ref="AL48:AS48"/>
    <mergeCell ref="AL46:AS46"/>
    <mergeCell ref="AL47:AS47"/>
    <mergeCell ref="AH47:AJ47"/>
    <mergeCell ref="AH48:AK48"/>
    <mergeCell ref="H46:J46"/>
    <mergeCell ref="U44:W44"/>
    <mergeCell ref="U45:W45"/>
    <mergeCell ref="U46:W46"/>
    <mergeCell ref="L45:S45"/>
    <mergeCell ref="L46:S46"/>
    <mergeCell ref="AD20:AJ20"/>
    <mergeCell ref="AK20:AO20"/>
    <mergeCell ref="R20:AC20"/>
    <mergeCell ref="AK14:AO14"/>
    <mergeCell ref="O14:Q14"/>
    <mergeCell ref="R14:X14"/>
    <mergeCell ref="Y14:AC14"/>
    <mergeCell ref="AD14:AJ14"/>
    <mergeCell ref="O18:Q18"/>
    <mergeCell ref="R18:X18"/>
    <mergeCell ref="Y18:AC18"/>
    <mergeCell ref="AD18:AJ18"/>
    <mergeCell ref="AK18:AO18"/>
  </mergeCells>
  <dataValidations count="4">
    <dataValidation allowBlank="1" showInputMessage="1" showErrorMessage="1" promptTitle="DON'T TYPE OVER THIS" prompt="This cell contains a formula!" sqref="W12 AL53:AS53 Y7:AF7 AL7:AS9 L49:S49 Y49:AF49 AL49:AS49 W30 W23"/>
    <dataValidation allowBlank="1" showInputMessage="1" showErrorMessage="1" promptTitle="DON'T TYPE OVER THIS" prompt="This cell contains a formula" sqref="AK12 AK30 AK23"/>
    <dataValidation allowBlank="1" showErrorMessage="1" promptTitle="DON'T TYPE OVER THIS" prompt="This cell contains a formula!" sqref="AP20:AS20 I20:R20 G34:Y35 AP34:AS35 G27:Y28 AP27:AS28"/>
    <dataValidation allowBlank="1" sqref="G33:H33 G26:H26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Countries!$C$2:$C$59</xm:f>
          </x14:formula1>
          <xm:sqref>J12:Q12 J30:Q30 J23:Q23</xm:sqref>
        </x14:dataValidation>
        <x14:dataValidation type="list" allowBlank="1" showInputMessage="1" showErrorMessage="1">
          <x14:formula1>
            <xm:f>Inventory!$C$7:$C$37</xm:f>
          </x14:formula1>
          <xm:sqref>U44:U47 AH44:AH47 H44:H47</xm:sqref>
        </x14:dataValidation>
        <x14:dataValidation type="list" allowBlank="1" showInputMessage="1" showErrorMessage="1">
          <x14:formula1>
            <xm:f>[1]Sheet2!#REF!</xm:f>
          </x14:formula1>
          <xm:sqref>AK20:AO20 AK34:AO35 AK27:AO28</xm:sqref>
        </x14:dataValidation>
        <x14:dataValidation type="list" allowBlank="1" showInputMessage="1" showErrorMessage="1">
          <x14:formula1>
            <xm:f>'South African Currencies'!$A$2:$A$55</xm:f>
          </x14:formula1>
          <xm:sqref>Y15:AC19 AK15:AO19 Y33:AC33 AK33:AO33 Y26:AC26 AK26:AO26</xm:sqref>
        </x14:dataValidation>
        <x14:dataValidation type="list" allowBlank="1" showInputMessage="1" showErrorMessage="1">
          <x14:formula1>
            <xm:f>[1]Data!#REF!</xm:f>
          </x14:formula1>
          <xm:sqref>F24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8" t="s">
        <v>1396</v>
      </c>
      <c r="B1" s="198" t="s">
        <v>1397</v>
      </c>
      <c r="C1" s="198" t="s">
        <v>1398</v>
      </c>
    </row>
    <row r="2" spans="1:3" ht="15" thickBot="1" x14ac:dyDescent="0.4">
      <c r="A2" s="199" t="s">
        <v>388</v>
      </c>
      <c r="B2" s="200" t="s">
        <v>1399</v>
      </c>
      <c r="C2" s="200" t="s">
        <v>1400</v>
      </c>
    </row>
    <row r="3" spans="1:3" ht="15" thickBot="1" x14ac:dyDescent="0.4">
      <c r="A3" s="199" t="s">
        <v>399</v>
      </c>
      <c r="B3" s="200" t="s">
        <v>1401</v>
      </c>
      <c r="C3" s="200" t="s">
        <v>1402</v>
      </c>
    </row>
    <row r="4" spans="1:3" ht="15" thickBot="1" x14ac:dyDescent="0.4">
      <c r="A4" s="199" t="s">
        <v>54</v>
      </c>
      <c r="B4" s="200" t="s">
        <v>1403</v>
      </c>
      <c r="C4" s="200" t="s">
        <v>1404</v>
      </c>
    </row>
    <row r="5" spans="1:3" ht="15" thickBot="1" x14ac:dyDescent="0.4">
      <c r="A5" s="199" t="s">
        <v>408</v>
      </c>
      <c r="B5" s="200" t="s">
        <v>1405</v>
      </c>
      <c r="C5" s="200" t="s">
        <v>1131</v>
      </c>
    </row>
    <row r="6" spans="1:3" ht="15" thickBot="1" x14ac:dyDescent="0.4">
      <c r="A6" s="199" t="s">
        <v>417</v>
      </c>
      <c r="B6" s="200" t="s">
        <v>1406</v>
      </c>
      <c r="C6" s="200" t="s">
        <v>1407</v>
      </c>
    </row>
    <row r="7" spans="1:3" ht="15" thickBot="1" x14ac:dyDescent="0.4">
      <c r="A7" s="199" t="s">
        <v>420</v>
      </c>
      <c r="B7" s="200" t="s">
        <v>1408</v>
      </c>
      <c r="C7" s="200" t="s">
        <v>1122</v>
      </c>
    </row>
    <row r="8" spans="1:3" ht="15" thickBot="1" x14ac:dyDescent="0.4">
      <c r="A8" s="199" t="s">
        <v>423</v>
      </c>
      <c r="B8" s="200" t="s">
        <v>1409</v>
      </c>
      <c r="C8" s="200" t="s">
        <v>1410</v>
      </c>
    </row>
    <row r="9" spans="1:3" ht="15" thickBot="1" x14ac:dyDescent="0.4">
      <c r="A9" s="199" t="s">
        <v>424</v>
      </c>
      <c r="B9" s="200" t="s">
        <v>1411</v>
      </c>
      <c r="C9" s="200" t="s">
        <v>1412</v>
      </c>
    </row>
    <row r="10" spans="1:3" ht="15" thickBot="1" x14ac:dyDescent="0.4">
      <c r="A10" s="199" t="s">
        <v>426</v>
      </c>
      <c r="B10" s="200" t="s">
        <v>1413</v>
      </c>
      <c r="C10" s="200" t="s">
        <v>1414</v>
      </c>
    </row>
    <row r="11" spans="1:3" ht="15" thickBot="1" x14ac:dyDescent="0.4">
      <c r="A11" s="199" t="s">
        <v>427</v>
      </c>
      <c r="B11" s="200" t="s">
        <v>1415</v>
      </c>
      <c r="C11" s="200" t="s">
        <v>1199</v>
      </c>
    </row>
    <row r="12" spans="1:3" ht="15" thickBot="1" x14ac:dyDescent="0.4">
      <c r="A12" s="199" t="s">
        <v>431</v>
      </c>
      <c r="B12" s="200" t="s">
        <v>1416</v>
      </c>
      <c r="C12" s="200" t="s">
        <v>1417</v>
      </c>
    </row>
    <row r="13" spans="1:3" ht="15" thickBot="1" x14ac:dyDescent="0.4">
      <c r="A13" s="199" t="s">
        <v>433</v>
      </c>
      <c r="B13" s="200" t="s">
        <v>1418</v>
      </c>
      <c r="C13" s="200" t="s">
        <v>1419</v>
      </c>
    </row>
    <row r="14" spans="1:3" ht="15" thickBot="1" x14ac:dyDescent="0.4">
      <c r="A14" s="199" t="s">
        <v>434</v>
      </c>
      <c r="B14" s="200" t="s">
        <v>1420</v>
      </c>
      <c r="C14" s="200" t="s">
        <v>1077</v>
      </c>
    </row>
    <row r="15" spans="1:3" ht="15" thickBot="1" x14ac:dyDescent="0.4">
      <c r="A15" s="199" t="s">
        <v>451</v>
      </c>
      <c r="B15" s="200" t="s">
        <v>1421</v>
      </c>
      <c r="C15" s="200" t="s">
        <v>1175</v>
      </c>
    </row>
    <row r="16" spans="1:3" ht="15" thickBot="1" x14ac:dyDescent="0.4">
      <c r="A16" s="199" t="s">
        <v>454</v>
      </c>
      <c r="B16" s="200" t="s">
        <v>1422</v>
      </c>
      <c r="C16" s="200" t="s">
        <v>1423</v>
      </c>
    </row>
    <row r="17" spans="1:3" ht="15" thickBot="1" x14ac:dyDescent="0.4">
      <c r="A17" s="199" t="s">
        <v>461</v>
      </c>
      <c r="B17" s="200" t="s">
        <v>1424</v>
      </c>
      <c r="C17" s="200" t="s">
        <v>1094</v>
      </c>
    </row>
    <row r="18" spans="1:3" ht="15" thickBot="1" x14ac:dyDescent="0.4">
      <c r="A18" s="199" t="s">
        <v>462</v>
      </c>
      <c r="B18" s="200" t="s">
        <v>1425</v>
      </c>
      <c r="C18" s="200" t="s">
        <v>1426</v>
      </c>
    </row>
    <row r="19" spans="1:3" ht="15" thickBot="1" x14ac:dyDescent="0.4">
      <c r="A19" s="199" t="s">
        <v>463</v>
      </c>
      <c r="B19" s="200" t="s">
        <v>1427</v>
      </c>
      <c r="C19" s="200" t="s">
        <v>1428</v>
      </c>
    </row>
    <row r="20" spans="1:3" ht="15" thickBot="1" x14ac:dyDescent="0.4">
      <c r="A20" s="199" t="s">
        <v>425</v>
      </c>
      <c r="B20" s="200" t="s">
        <v>1429</v>
      </c>
      <c r="C20" s="200" t="s">
        <v>1430</v>
      </c>
    </row>
    <row r="21" spans="1:3" ht="15" thickBot="1" x14ac:dyDescent="0.4">
      <c r="A21" s="199" t="s">
        <v>465</v>
      </c>
      <c r="B21" s="200" t="s">
        <v>1431</v>
      </c>
      <c r="C21" s="200" t="s">
        <v>1146</v>
      </c>
    </row>
    <row r="22" spans="1:3" ht="15" thickBot="1" x14ac:dyDescent="0.4">
      <c r="A22" s="199" t="s">
        <v>469</v>
      </c>
      <c r="B22" s="200" t="s">
        <v>1432</v>
      </c>
      <c r="C22" s="200" t="s">
        <v>1433</v>
      </c>
    </row>
    <row r="23" spans="1:3" ht="15" thickBot="1" x14ac:dyDescent="0.4">
      <c r="A23" s="199" t="s">
        <v>470</v>
      </c>
      <c r="B23" s="200" t="s">
        <v>1434</v>
      </c>
      <c r="C23" s="200" t="s">
        <v>1435</v>
      </c>
    </row>
    <row r="24" spans="1:3" ht="15" thickBot="1" x14ac:dyDescent="0.4">
      <c r="A24" s="199" t="s">
        <v>472</v>
      </c>
      <c r="B24" s="200" t="s">
        <v>1436</v>
      </c>
      <c r="C24" s="200" t="s">
        <v>1113</v>
      </c>
    </row>
    <row r="25" spans="1:3" ht="15" thickBot="1" x14ac:dyDescent="0.4">
      <c r="A25" s="199" t="s">
        <v>475</v>
      </c>
      <c r="B25" s="200" t="s">
        <v>1437</v>
      </c>
      <c r="C25" s="200" t="s">
        <v>1096</v>
      </c>
    </row>
    <row r="26" spans="1:3" ht="15" thickBot="1" x14ac:dyDescent="0.4">
      <c r="A26" s="199" t="s">
        <v>476</v>
      </c>
      <c r="B26" s="200" t="s">
        <v>1438</v>
      </c>
      <c r="C26" s="200" t="s">
        <v>1191</v>
      </c>
    </row>
    <row r="27" spans="1:3" ht="15" thickBot="1" x14ac:dyDescent="0.4">
      <c r="A27" s="199" t="s">
        <v>478</v>
      </c>
      <c r="B27" s="200" t="s">
        <v>1439</v>
      </c>
      <c r="C27" s="200" t="s">
        <v>1440</v>
      </c>
    </row>
    <row r="28" spans="1:3" ht="15" thickBot="1" x14ac:dyDescent="0.4">
      <c r="A28" s="199" t="s">
        <v>493</v>
      </c>
      <c r="B28" s="200" t="s">
        <v>1441</v>
      </c>
      <c r="C28" s="200" t="s">
        <v>1086</v>
      </c>
    </row>
    <row r="29" spans="1:3" ht="15" thickBot="1" x14ac:dyDescent="0.4">
      <c r="A29" s="199" t="s">
        <v>496</v>
      </c>
      <c r="B29" s="200" t="s">
        <v>1442</v>
      </c>
      <c r="C29" s="200" t="s">
        <v>1443</v>
      </c>
    </row>
    <row r="30" spans="1:3" ht="15" thickBot="1" x14ac:dyDescent="0.4">
      <c r="A30" s="199" t="s">
        <v>497</v>
      </c>
      <c r="B30" s="200" t="s">
        <v>1444</v>
      </c>
      <c r="C30" s="200" t="s">
        <v>1095</v>
      </c>
    </row>
    <row r="31" spans="1:3" ht="15" thickBot="1" x14ac:dyDescent="0.4">
      <c r="A31" s="199" t="s">
        <v>501</v>
      </c>
      <c r="B31" s="200" t="s">
        <v>1445</v>
      </c>
      <c r="C31" s="200" t="s">
        <v>1087</v>
      </c>
    </row>
    <row r="32" spans="1:3" ht="15" thickBot="1" x14ac:dyDescent="0.4">
      <c r="A32" s="199" t="s">
        <v>502</v>
      </c>
      <c r="B32" s="200" t="s">
        <v>1446</v>
      </c>
      <c r="C32" s="200" t="s">
        <v>1133</v>
      </c>
    </row>
    <row r="33" spans="1:3" ht="15" thickBot="1" x14ac:dyDescent="0.4">
      <c r="A33" s="199" t="s">
        <v>504</v>
      </c>
      <c r="B33" s="200" t="s">
        <v>1447</v>
      </c>
      <c r="C33" s="200" t="s">
        <v>1140</v>
      </c>
    </row>
    <row r="34" spans="1:3" ht="15" thickBot="1" x14ac:dyDescent="0.4">
      <c r="A34" s="199" t="s">
        <v>505</v>
      </c>
      <c r="B34" s="200" t="s">
        <v>1448</v>
      </c>
      <c r="C34" s="200" t="s">
        <v>1449</v>
      </c>
    </row>
    <row r="35" spans="1:3" ht="15" thickBot="1" x14ac:dyDescent="0.4">
      <c r="A35" s="199" t="s">
        <v>507</v>
      </c>
      <c r="B35" s="200" t="s">
        <v>1450</v>
      </c>
      <c r="C35" s="200" t="s">
        <v>1451</v>
      </c>
    </row>
    <row r="36" spans="1:3" ht="15" thickBot="1" x14ac:dyDescent="0.4">
      <c r="A36" s="199" t="s">
        <v>511</v>
      </c>
      <c r="B36" s="200" t="s">
        <v>1452</v>
      </c>
      <c r="C36" s="200" t="s">
        <v>1453</v>
      </c>
    </row>
    <row r="37" spans="1:3" ht="15" thickBot="1" x14ac:dyDescent="0.4">
      <c r="A37" s="199" t="s">
        <v>516</v>
      </c>
      <c r="B37" s="200" t="s">
        <v>1454</v>
      </c>
      <c r="C37" s="200" t="s">
        <v>1088</v>
      </c>
    </row>
    <row r="38" spans="1:3" ht="15" thickBot="1" x14ac:dyDescent="0.4">
      <c r="A38" s="199" t="s">
        <v>518</v>
      </c>
      <c r="B38" s="200" t="s">
        <v>1455</v>
      </c>
      <c r="C38" s="200" t="s">
        <v>1184</v>
      </c>
    </row>
    <row r="39" spans="1:3" ht="15" thickBot="1" x14ac:dyDescent="0.4">
      <c r="A39" s="199" t="s">
        <v>409</v>
      </c>
      <c r="B39" s="200" t="s">
        <v>1456</v>
      </c>
      <c r="C39" s="200" t="s">
        <v>1457</v>
      </c>
    </row>
    <row r="40" spans="1:3" ht="15" thickBot="1" x14ac:dyDescent="0.4">
      <c r="A40" s="199" t="s">
        <v>409</v>
      </c>
      <c r="B40" s="200" t="s">
        <v>1458</v>
      </c>
      <c r="C40" s="200" t="s">
        <v>1457</v>
      </c>
    </row>
    <row r="41" spans="1:3" ht="15" thickBot="1" x14ac:dyDescent="0.4">
      <c r="A41" s="199" t="s">
        <v>409</v>
      </c>
      <c r="B41" s="200" t="s">
        <v>1459</v>
      </c>
      <c r="C41" s="200" t="s">
        <v>1457</v>
      </c>
    </row>
    <row r="42" spans="1:3" ht="15" thickBot="1" x14ac:dyDescent="0.4">
      <c r="A42" s="199" t="s">
        <v>409</v>
      </c>
      <c r="B42" s="200" t="s">
        <v>1460</v>
      </c>
      <c r="C42" s="200" t="s">
        <v>1457</v>
      </c>
    </row>
    <row r="43" spans="1:3" ht="15" thickBot="1" x14ac:dyDescent="0.4">
      <c r="A43" s="199" t="s">
        <v>409</v>
      </c>
      <c r="B43" s="200" t="s">
        <v>1461</v>
      </c>
      <c r="C43" s="200" t="s">
        <v>1457</v>
      </c>
    </row>
    <row r="44" spans="1:3" ht="15" thickBot="1" x14ac:dyDescent="0.4">
      <c r="A44" s="199" t="s">
        <v>409</v>
      </c>
      <c r="B44" s="200" t="s">
        <v>1462</v>
      </c>
      <c r="C44" s="200" t="s">
        <v>1457</v>
      </c>
    </row>
    <row r="45" spans="1:3" ht="15" thickBot="1" x14ac:dyDescent="0.4">
      <c r="A45" s="199" t="s">
        <v>396</v>
      </c>
      <c r="B45" s="200" t="s">
        <v>1463</v>
      </c>
      <c r="C45" s="200" t="s">
        <v>1457</v>
      </c>
    </row>
    <row r="46" spans="1:3" ht="15" thickBot="1" x14ac:dyDescent="0.4">
      <c r="A46" s="199" t="s">
        <v>396</v>
      </c>
      <c r="B46" s="200" t="s">
        <v>1464</v>
      </c>
      <c r="C46" s="200" t="s">
        <v>1457</v>
      </c>
    </row>
    <row r="47" spans="1:3" ht="15" thickBot="1" x14ac:dyDescent="0.4">
      <c r="A47" s="199" t="s">
        <v>396</v>
      </c>
      <c r="B47" s="200" t="s">
        <v>1465</v>
      </c>
      <c r="C47" s="200" t="s">
        <v>1457</v>
      </c>
    </row>
    <row r="48" spans="1:3" ht="15" thickBot="1" x14ac:dyDescent="0.4">
      <c r="A48" s="199" t="s">
        <v>396</v>
      </c>
      <c r="B48" s="200" t="s">
        <v>1466</v>
      </c>
      <c r="C48" s="200" t="s">
        <v>1457</v>
      </c>
    </row>
    <row r="49" spans="1:3" ht="15" thickBot="1" x14ac:dyDescent="0.4">
      <c r="A49" s="199" t="s">
        <v>396</v>
      </c>
      <c r="B49" s="200" t="s">
        <v>1467</v>
      </c>
      <c r="C49" s="200" t="s">
        <v>1457</v>
      </c>
    </row>
    <row r="50" spans="1:3" ht="15" thickBot="1" x14ac:dyDescent="0.4">
      <c r="A50" s="199" t="s">
        <v>396</v>
      </c>
      <c r="B50" s="200" t="s">
        <v>1468</v>
      </c>
      <c r="C50" s="200" t="s">
        <v>1457</v>
      </c>
    </row>
    <row r="51" spans="1:3" ht="15" thickBot="1" x14ac:dyDescent="0.4">
      <c r="A51" s="199" t="s">
        <v>396</v>
      </c>
      <c r="B51" s="200" t="s">
        <v>1469</v>
      </c>
      <c r="C51" s="200" t="s">
        <v>1457</v>
      </c>
    </row>
    <row r="52" spans="1:3" ht="15" thickBot="1" x14ac:dyDescent="0.4">
      <c r="A52" s="199" t="s">
        <v>396</v>
      </c>
      <c r="B52" s="200" t="s">
        <v>1470</v>
      </c>
      <c r="C52" s="200" t="s">
        <v>1457</v>
      </c>
    </row>
    <row r="53" spans="1:3" ht="15" thickBot="1" x14ac:dyDescent="0.4">
      <c r="A53" s="199" t="s">
        <v>526</v>
      </c>
      <c r="B53" s="200" t="s">
        <v>1471</v>
      </c>
      <c r="C53" s="200" t="s">
        <v>1061</v>
      </c>
    </row>
    <row r="54" spans="1:3" ht="15" thickBot="1" x14ac:dyDescent="0.4">
      <c r="A54" s="199" t="s">
        <v>1472</v>
      </c>
      <c r="B54" s="200" t="s">
        <v>1473</v>
      </c>
      <c r="C54" s="201" t="s">
        <v>1474</v>
      </c>
    </row>
    <row r="55" spans="1:3" ht="15" thickBot="1" x14ac:dyDescent="0.4">
      <c r="A55" s="199" t="s">
        <v>527</v>
      </c>
      <c r="B55" s="200" t="s">
        <v>1475</v>
      </c>
      <c r="C55" s="200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92" t="s">
        <v>32</v>
      </c>
      <c r="H10" s="292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92" t="s">
        <v>63</v>
      </c>
      <c r="H11" s="292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92" t="s">
        <v>67</v>
      </c>
      <c r="H12" s="292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81"/>
      <c r="F13" s="281"/>
      <c r="G13" s="281"/>
      <c r="H13" s="281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86"/>
      <c r="F14" s="286"/>
      <c r="G14" s="286"/>
      <c r="H14" s="286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84"/>
      <c r="F15" s="284"/>
      <c r="G15" s="284" t="s">
        <v>72</v>
      </c>
      <c r="H15" s="284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81">
        <v>1600</v>
      </c>
      <c r="F16" s="281"/>
      <c r="G16" s="276" t="s">
        <v>73</v>
      </c>
      <c r="H16" s="276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77" t="s">
        <v>77</v>
      </c>
      <c r="P17" s="277"/>
    </row>
    <row r="18" spans="4:16" ht="15" thickBot="1" x14ac:dyDescent="0.4">
      <c r="D18" s="113" t="s">
        <v>75</v>
      </c>
      <c r="E18" s="283">
        <f>SUM(E16)</f>
        <v>1600</v>
      </c>
      <c r="F18" s="283"/>
      <c r="G18" s="281"/>
      <c r="H18" s="281"/>
      <c r="I18" s="133">
        <f>SUM(I16)</f>
        <v>0</v>
      </c>
      <c r="J18" s="111"/>
      <c r="K18" s="111"/>
      <c r="L18" s="112"/>
      <c r="O18" s="277" t="s">
        <v>79</v>
      </c>
      <c r="P18" s="277"/>
    </row>
    <row r="19" spans="4:16" ht="15" thickTop="1" x14ac:dyDescent="0.35">
      <c r="D19" s="110"/>
      <c r="E19" s="281"/>
      <c r="F19" s="281"/>
      <c r="G19" s="281"/>
      <c r="H19" s="281"/>
      <c r="I19" s="111"/>
      <c r="J19" s="111"/>
      <c r="K19" s="111"/>
      <c r="L19" s="112"/>
      <c r="O19" s="277" t="s">
        <v>81</v>
      </c>
      <c r="P19" s="277"/>
    </row>
    <row r="20" spans="4:16" x14ac:dyDescent="0.35">
      <c r="D20" s="120" t="s">
        <v>11</v>
      </c>
      <c r="E20" s="286"/>
      <c r="F20" s="286"/>
      <c r="G20" s="286"/>
      <c r="H20" s="286"/>
      <c r="I20" s="111"/>
      <c r="J20" s="111"/>
      <c r="K20" s="111"/>
      <c r="L20" s="112"/>
      <c r="O20" s="277" t="s">
        <v>83</v>
      </c>
      <c r="P20" s="277"/>
    </row>
    <row r="21" spans="4:16" x14ac:dyDescent="0.35">
      <c r="D21" s="128" t="s">
        <v>71</v>
      </c>
      <c r="E21" s="284"/>
      <c r="F21" s="284"/>
      <c r="G21" s="284" t="s">
        <v>72</v>
      </c>
      <c r="H21" s="284"/>
      <c r="I21" s="121"/>
      <c r="J21" s="129" t="s">
        <v>76</v>
      </c>
      <c r="K21" s="129"/>
      <c r="L21" s="130"/>
      <c r="O21" s="168" t="s">
        <v>80</v>
      </c>
    </row>
    <row r="22" spans="4:16" x14ac:dyDescent="0.35">
      <c r="D22" s="134" t="s">
        <v>77</v>
      </c>
      <c r="E22" s="287">
        <v>1700</v>
      </c>
      <c r="F22" s="291"/>
      <c r="G22" s="277" t="s">
        <v>77</v>
      </c>
      <c r="H22" s="277"/>
      <c r="I22" s="125">
        <v>1700</v>
      </c>
      <c r="J22" s="135"/>
      <c r="K22" s="125"/>
      <c r="L22" s="136" t="s">
        <v>78</v>
      </c>
      <c r="O22" s="168" t="s">
        <v>13</v>
      </c>
    </row>
    <row r="23" spans="4:16" x14ac:dyDescent="0.35">
      <c r="D23" s="134" t="s">
        <v>79</v>
      </c>
      <c r="E23" s="287">
        <v>0</v>
      </c>
      <c r="F23" s="287"/>
      <c r="G23" s="277" t="s">
        <v>79</v>
      </c>
      <c r="H23" s="277"/>
      <c r="I23" s="125">
        <v>500</v>
      </c>
      <c r="J23" s="135" t="s">
        <v>80</v>
      </c>
      <c r="K23" s="125">
        <v>1530</v>
      </c>
      <c r="L23" s="137">
        <v>42464</v>
      </c>
      <c r="O23" s="168" t="s">
        <v>84</v>
      </c>
    </row>
    <row r="24" spans="4:16" x14ac:dyDescent="0.35">
      <c r="D24" s="134" t="s">
        <v>81</v>
      </c>
      <c r="E24" s="287">
        <v>0</v>
      </c>
      <c r="F24" s="287"/>
      <c r="G24" s="277" t="s">
        <v>81</v>
      </c>
      <c r="H24" s="277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87">
        <v>340</v>
      </c>
      <c r="F25" s="287"/>
      <c r="G25" s="277" t="s">
        <v>83</v>
      </c>
      <c r="H25" s="277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87">
        <v>390</v>
      </c>
      <c r="F26" s="287"/>
      <c r="G26" s="287"/>
      <c r="H26" s="287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87">
        <v>680</v>
      </c>
      <c r="F27" s="287"/>
      <c r="G27" s="287"/>
      <c r="H27" s="287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87">
        <v>390</v>
      </c>
      <c r="F28" s="287"/>
      <c r="G28" s="287"/>
      <c r="H28" s="287"/>
      <c r="I28" s="125"/>
      <c r="J28" s="135"/>
      <c r="K28" s="125"/>
      <c r="L28" s="138"/>
      <c r="O28" s="276" t="s">
        <v>79</v>
      </c>
      <c r="P28" s="276"/>
    </row>
    <row r="29" spans="4:16" ht="15" thickBot="1" x14ac:dyDescent="0.4">
      <c r="D29" s="139" t="s">
        <v>75</v>
      </c>
      <c r="E29" s="288">
        <f>SUM(E22:F28)</f>
        <v>3500</v>
      </c>
      <c r="F29" s="289"/>
      <c r="G29" s="290"/>
      <c r="H29" s="290"/>
      <c r="I29" s="140">
        <f>SUM(I22:I28)</f>
        <v>2845</v>
      </c>
      <c r="J29" s="125"/>
      <c r="K29" s="140">
        <f>SUM(K22:K28)</f>
        <v>4080</v>
      </c>
      <c r="L29" s="138"/>
      <c r="O29" s="276" t="s">
        <v>81</v>
      </c>
      <c r="P29" s="276"/>
    </row>
    <row r="30" spans="4:16" ht="15" thickTop="1" x14ac:dyDescent="0.35">
      <c r="D30" s="141"/>
      <c r="E30" s="290"/>
      <c r="F30" s="290"/>
      <c r="G30" s="290"/>
      <c r="H30" s="290"/>
      <c r="I30" s="125"/>
      <c r="J30" s="125"/>
      <c r="K30" s="125"/>
      <c r="L30" s="138"/>
      <c r="O30" s="167" t="s">
        <v>90</v>
      </c>
    </row>
    <row r="31" spans="4:16" x14ac:dyDescent="0.35">
      <c r="D31" s="120" t="s">
        <v>87</v>
      </c>
      <c r="E31" s="286"/>
      <c r="F31" s="286"/>
      <c r="G31" s="286"/>
      <c r="H31" s="286"/>
      <c r="I31" s="111"/>
      <c r="J31" s="111"/>
      <c r="K31" s="111"/>
      <c r="L31" s="112"/>
      <c r="O31" s="167" t="s">
        <v>80</v>
      </c>
    </row>
    <row r="32" spans="4:16" x14ac:dyDescent="0.35">
      <c r="D32" s="128" t="s">
        <v>71</v>
      </c>
      <c r="E32" s="284"/>
      <c r="F32" s="284"/>
      <c r="G32" s="284" t="s">
        <v>72</v>
      </c>
      <c r="H32" s="284"/>
      <c r="I32" s="121"/>
      <c r="J32" s="129" t="s">
        <v>76</v>
      </c>
      <c r="K32" s="129"/>
      <c r="L32" s="130"/>
      <c r="O32" s="167" t="s">
        <v>13</v>
      </c>
    </row>
    <row r="33" spans="4:15" x14ac:dyDescent="0.35">
      <c r="D33" s="131" t="s">
        <v>88</v>
      </c>
      <c r="E33" s="281">
        <v>1700</v>
      </c>
      <c r="F33" s="281"/>
      <c r="G33" s="276" t="s">
        <v>79</v>
      </c>
      <c r="H33" s="276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85">
        <v>380</v>
      </c>
      <c r="F34" s="285"/>
      <c r="G34" s="276" t="s">
        <v>81</v>
      </c>
      <c r="H34" s="276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85">
        <v>500</v>
      </c>
      <c r="F35" s="285"/>
      <c r="G35" s="276"/>
      <c r="H35" s="276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85">
        <v>300</v>
      </c>
      <c r="F36" s="285"/>
      <c r="G36" s="276"/>
      <c r="H36" s="276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83">
        <f>SUM(E33:F36)</f>
        <v>2880</v>
      </c>
      <c r="F37" s="283"/>
      <c r="G37" s="281"/>
      <c r="H37" s="281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81"/>
      <c r="F38" s="281"/>
      <c r="G38" s="281"/>
      <c r="H38" s="281"/>
      <c r="I38" s="111"/>
      <c r="J38" s="111"/>
      <c r="K38" s="111"/>
      <c r="L38" s="112"/>
    </row>
    <row r="39" spans="4:15" x14ac:dyDescent="0.35">
      <c r="D39" s="128" t="s">
        <v>92</v>
      </c>
      <c r="E39" s="284"/>
      <c r="F39" s="284"/>
      <c r="G39" s="284"/>
      <c r="H39" s="284"/>
      <c r="I39" s="121"/>
      <c r="J39" s="121"/>
      <c r="K39" s="121"/>
      <c r="L39" s="130"/>
    </row>
    <row r="40" spans="4:15" x14ac:dyDescent="0.35">
      <c r="D40" s="131" t="s">
        <v>93</v>
      </c>
      <c r="E40" s="281">
        <v>1000</v>
      </c>
      <c r="F40" s="281"/>
      <c r="G40" s="281"/>
      <c r="H40" s="281"/>
      <c r="I40" s="111"/>
      <c r="J40" s="111"/>
      <c r="K40" s="111"/>
      <c r="L40" s="112"/>
    </row>
    <row r="41" spans="4:15" x14ac:dyDescent="0.35">
      <c r="D41" s="131" t="s">
        <v>94</v>
      </c>
      <c r="E41" s="281">
        <v>500</v>
      </c>
      <c r="F41" s="281"/>
      <c r="G41" s="281"/>
      <c r="H41" s="281"/>
      <c r="I41" s="111"/>
      <c r="J41" s="111"/>
      <c r="K41" s="111"/>
      <c r="L41" s="112"/>
    </row>
    <row r="42" spans="4:15" ht="15" thickBot="1" x14ac:dyDescent="0.4">
      <c r="D42" s="113" t="s">
        <v>75</v>
      </c>
      <c r="E42" s="283">
        <f>SUM(E40:F41)</f>
        <v>1500</v>
      </c>
      <c r="F42" s="283"/>
      <c r="G42" s="281"/>
      <c r="H42" s="281"/>
      <c r="I42" s="111"/>
      <c r="J42" s="111"/>
      <c r="K42" s="111"/>
      <c r="L42" s="112"/>
    </row>
    <row r="43" spans="4:15" ht="15" thickTop="1" x14ac:dyDescent="0.35">
      <c r="D43" s="110"/>
      <c r="E43" s="281"/>
      <c r="F43" s="281"/>
      <c r="G43" s="281"/>
      <c r="H43" s="281"/>
      <c r="I43" s="111"/>
      <c r="J43" s="111"/>
      <c r="K43" s="111"/>
      <c r="L43" s="112"/>
    </row>
    <row r="44" spans="4:15" ht="15" thickBot="1" x14ac:dyDescent="0.4">
      <c r="D44" s="144" t="s">
        <v>95</v>
      </c>
      <c r="E44" s="282">
        <f>SUM(E18,I18,K18,E29,I29,K29,E37,K37,I37,E42)</f>
        <v>17205</v>
      </c>
      <c r="F44" s="282"/>
      <c r="G44" s="281"/>
      <c r="H44" s="281"/>
      <c r="I44" s="111"/>
      <c r="J44" s="145" t="s">
        <v>96</v>
      </c>
      <c r="K44" s="133"/>
      <c r="L44" s="112"/>
    </row>
    <row r="45" spans="4:15" ht="15" thickTop="1" x14ac:dyDescent="0.35">
      <c r="D45" s="144"/>
      <c r="E45" s="279"/>
      <c r="F45" s="279"/>
      <c r="G45" s="145"/>
      <c r="H45" s="145"/>
      <c r="I45" s="111"/>
      <c r="J45" s="145"/>
      <c r="K45" s="146"/>
      <c r="L45" s="112"/>
    </row>
    <row r="46" spans="4:15" x14ac:dyDescent="0.35">
      <c r="D46" s="144"/>
      <c r="E46" s="279"/>
      <c r="F46" s="279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78"/>
      <c r="F47" s="278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79"/>
      <c r="F48" s="279"/>
      <c r="G48" s="145"/>
      <c r="H48" s="145"/>
      <c r="I48" s="111"/>
      <c r="J48" s="145"/>
      <c r="K48" s="146"/>
      <c r="L48" s="112"/>
    </row>
    <row r="49" spans="4:12" x14ac:dyDescent="0.35">
      <c r="D49" s="144"/>
      <c r="E49" s="279"/>
      <c r="F49" s="279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80"/>
      <c r="F50" s="280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98" t="s">
        <v>32</v>
      </c>
      <c r="F5" s="299"/>
      <c r="G5" s="296" t="str">
        <f>VLOOKUP(J5,Drivers!$A$5:$B$41,2,0)</f>
        <v>Mack Gwatiringa</v>
      </c>
      <c r="H5" s="296"/>
      <c r="I5" s="297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98" t="s">
        <v>37</v>
      </c>
      <c r="F17" s="299"/>
      <c r="G17" s="300"/>
      <c r="H17" s="300"/>
      <c r="I17" s="301"/>
      <c r="J17" s="89">
        <v>4</v>
      </c>
      <c r="L17" s="293" t="s">
        <v>23</v>
      </c>
      <c r="M17" s="294"/>
      <c r="N17" s="294"/>
      <c r="O17" s="294"/>
      <c r="P17" s="295"/>
      <c r="R17" s="293" t="s">
        <v>24</v>
      </c>
      <c r="S17" s="294"/>
      <c r="T17" s="294"/>
      <c r="U17" s="294"/>
      <c r="V17" s="295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9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Templates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2018-03-30T08:37:14Z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