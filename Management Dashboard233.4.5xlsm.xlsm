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ustomProperty2.bin" ContentType="application/vnd.openxmlformats-officedocument.spreadsheetml.customProperty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ustomProperty3.bin" ContentType="application/vnd.openxmlformats-officedocument.spreadsheetml.customProperty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ustomProperty4.bin" ContentType="application/vnd.openxmlformats-officedocument.spreadsheetml.customProperty"/>
  <Override PartName="/xl/tables/table1.xml" ContentType="application/vnd.openxmlformats-officedocument.spreadsheetml.table+xml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ustomProperty7.bin" ContentType="application/vnd.openxmlformats-officedocument.spreadsheetml.customProperty"/>
  <Override PartName="/xl/customProperty8.bin" ContentType="application/vnd.openxmlformats-officedocument.spreadsheetml.customProperty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customProperty9.bin" ContentType="application/vnd.openxmlformats-officedocument.spreadsheetml.customProperty"/>
  <Override PartName="/xl/customProperty10.bin" ContentType="application/vnd.openxmlformats-officedocument.spreadsheetml.customProperty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Development\SpaceShifters\"/>
    </mc:Choice>
  </mc:AlternateContent>
  <bookViews>
    <workbookView xWindow="0" yWindow="0" windowWidth="25600" windowHeight="12650" activeTab="2"/>
  </bookViews>
  <sheets>
    <sheet name="Templates" sheetId="14" r:id="rId1"/>
    <sheet name="Data" sheetId="17" r:id="rId2"/>
    <sheet name="Dispatch Sheet" sheetId="13" r:id="rId3"/>
    <sheet name="South African Currencies" sheetId="16" r:id="rId4"/>
    <sheet name="Old Dispatch Sheet" sheetId="6" state="hidden" r:id="rId5"/>
    <sheet name="Exchange Rate" sheetId="12" state="hidden" r:id="rId6"/>
    <sheet name="Countries" sheetId="9" state="hidden" r:id="rId7"/>
    <sheet name="Dashboard" sheetId="1" r:id="rId8"/>
    <sheet name="Drivers" sheetId="3" r:id="rId9"/>
    <sheet name="Horses" sheetId="5" r:id="rId10"/>
    <sheet name="Trailers" sheetId="7" r:id="rId11"/>
    <sheet name="Inventory" sheetId="15" r:id="rId12"/>
  </sheets>
  <externalReferences>
    <externalReference r:id="rId13"/>
  </externalReferences>
  <definedNames>
    <definedName name="BillingCategoryTemplate">Templates!$A$12:$AV$16</definedName>
    <definedName name="NewPointTemplate">Templates!$A$11:$AV$17</definedName>
    <definedName name="NumberOfPoints">'Dispatch Sheet'!$B$2</definedName>
    <definedName name="point_1">Templates!$B$1:$AU$8</definedName>
    <definedName name="POINT_RANGE" localSheetId="0">Templates!$A$1:$AU$8</definedName>
    <definedName name="_xlnm.Print_Area" localSheetId="2">'Dispatch Sheet'!$G$2:$AS$39</definedName>
    <definedName name="_xlnm.Print_Area" localSheetId="4">'Old Dispatch Sheet'!$D$2:$L$50</definedName>
    <definedName name="_xlnm.Print_Area" localSheetId="0">Templates!$G$1:$AS$8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D23" i="13" l="1"/>
  <c r="D23" i="13" s="1"/>
  <c r="R23" i="13"/>
  <c r="F22" i="13"/>
  <c r="C22" i="13"/>
  <c r="B20" i="13"/>
  <c r="E19" i="13"/>
  <c r="D19" i="13"/>
  <c r="AD15" i="14"/>
  <c r="D15" i="14" s="1"/>
  <c r="AD16" i="13"/>
  <c r="F15" i="13" l="1"/>
  <c r="C15" i="13"/>
  <c r="B13" i="13" s="1"/>
  <c r="R16" i="13"/>
  <c r="E11" i="14"/>
  <c r="F14" i="14"/>
  <c r="C14" i="14" l="1"/>
  <c r="D11" i="14" l="1"/>
  <c r="B12" i="14"/>
  <c r="B2" i="13"/>
  <c r="R15" i="14" l="1"/>
  <c r="L5" i="14" l="1"/>
  <c r="Y5" i="14"/>
  <c r="AL5" i="14"/>
  <c r="AK1" i="14"/>
  <c r="W1" i="14"/>
  <c r="AG1" i="14" s="1"/>
  <c r="D5" i="14" l="1"/>
  <c r="AL32" i="13"/>
  <c r="B1" i="13"/>
  <c r="AL9" i="13" l="1"/>
  <c r="AL8" i="13"/>
  <c r="AL7" i="13" l="1"/>
  <c r="L6" i="6" l="1"/>
  <c r="K6" i="6"/>
  <c r="J6" i="6"/>
  <c r="I10" i="6" l="1"/>
  <c r="E12" i="6"/>
  <c r="E18" i="6"/>
  <c r="I18" i="6"/>
  <c r="E29" i="6"/>
  <c r="I29" i="6"/>
  <c r="K29" i="6"/>
  <c r="E37" i="6"/>
  <c r="K37" i="6"/>
  <c r="I37" i="6"/>
  <c r="E42" i="6"/>
  <c r="L4" i="5"/>
  <c r="M4" i="5"/>
  <c r="N4" i="5"/>
  <c r="O4" i="5"/>
  <c r="P4" i="5"/>
  <c r="Q4" i="5"/>
  <c r="R4" i="5"/>
  <c r="S4" i="5"/>
  <c r="T4" i="5"/>
  <c r="U4" i="5"/>
  <c r="V4" i="5"/>
  <c r="W4" i="5"/>
  <c r="X4" i="5"/>
  <c r="Y4" i="5"/>
  <c r="Z4" i="5"/>
  <c r="AA4" i="5"/>
  <c r="AB4" i="5"/>
  <c r="AC4" i="5"/>
  <c r="AD4" i="5"/>
  <c r="AE4" i="5"/>
  <c r="AF4" i="5"/>
  <c r="AG4" i="5"/>
  <c r="AH4" i="5"/>
  <c r="AI4" i="5"/>
  <c r="AJ4" i="5"/>
  <c r="AK4" i="5"/>
  <c r="AL4" i="5"/>
  <c r="AM4" i="5"/>
  <c r="AN4" i="5"/>
  <c r="AO4" i="5"/>
  <c r="AP4" i="5"/>
  <c r="AQ4" i="5"/>
  <c r="AR4" i="5"/>
  <c r="AS4" i="5"/>
  <c r="AT4" i="5"/>
  <c r="AU4" i="5"/>
  <c r="AV4" i="5"/>
  <c r="AW4" i="5"/>
  <c r="AX4" i="5"/>
  <c r="AY4" i="5"/>
  <c r="AZ4" i="5"/>
  <c r="BA4" i="5"/>
  <c r="BB4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B8" i="5"/>
  <c r="B7" i="5"/>
  <c r="B6" i="5"/>
  <c r="K4" i="5"/>
  <c r="J4" i="5"/>
  <c r="I4" i="5"/>
  <c r="H4" i="5"/>
  <c r="G4" i="5"/>
  <c r="F4" i="5"/>
  <c r="E4" i="5"/>
  <c r="D4" i="5"/>
  <c r="C4" i="5"/>
  <c r="A19" i="1"/>
  <c r="A22" i="1" s="1"/>
  <c r="E15" i="1"/>
  <c r="E14" i="1"/>
  <c r="E13" i="1"/>
  <c r="E12" i="1"/>
  <c r="E11" i="1"/>
  <c r="E10" i="1"/>
  <c r="E9" i="1"/>
  <c r="E8" i="1"/>
  <c r="E7" i="1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5" i="3"/>
  <c r="G5" i="1" s="1"/>
  <c r="G7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P26" i="1"/>
  <c r="P27" i="1"/>
  <c r="P28" i="1"/>
  <c r="P29" i="1"/>
  <c r="P30" i="1"/>
  <c r="P31" i="1"/>
  <c r="P32" i="1"/>
  <c r="P33" i="1"/>
  <c r="P34" i="1"/>
  <c r="P35" i="1"/>
  <c r="P24" i="1"/>
  <c r="V37" i="1"/>
  <c r="V36" i="1"/>
  <c r="V21" i="1"/>
  <c r="V20" i="1"/>
  <c r="P37" i="1"/>
  <c r="P36" i="1"/>
  <c r="P25" i="1"/>
  <c r="P23" i="1"/>
  <c r="P22" i="1"/>
  <c r="P21" i="1"/>
  <c r="P20" i="1"/>
  <c r="AO3" i="5" l="1"/>
  <c r="A37" i="1"/>
  <c r="A29" i="1"/>
  <c r="A33" i="1"/>
  <c r="A36" i="1"/>
  <c r="A32" i="1"/>
  <c r="A30" i="1"/>
  <c r="A21" i="1"/>
  <c r="A35" i="1"/>
  <c r="A23" i="1"/>
  <c r="G8" i="1"/>
  <c r="H15" i="1"/>
  <c r="I15" i="1" s="1"/>
  <c r="F7" i="1"/>
  <c r="I3" i="5"/>
  <c r="F14" i="1"/>
  <c r="A34" i="1"/>
  <c r="G12" i="1"/>
  <c r="F8" i="1"/>
  <c r="AD3" i="5"/>
  <c r="Y7" i="13"/>
  <c r="W3" i="5"/>
  <c r="H8" i="1"/>
  <c r="I8" i="1" s="1"/>
  <c r="H11" i="1"/>
  <c r="I11" i="1" s="1"/>
  <c r="G11" i="1"/>
  <c r="H10" i="1"/>
  <c r="I10" i="1" s="1"/>
  <c r="A28" i="1"/>
  <c r="A31" i="1"/>
  <c r="A25" i="1"/>
  <c r="A26" i="1"/>
  <c r="G3" i="5"/>
  <c r="BB3" i="5"/>
  <c r="U3" i="5"/>
  <c r="A24" i="1"/>
  <c r="A27" i="1"/>
  <c r="A20" i="1"/>
  <c r="D3" i="5"/>
  <c r="AB3" i="5"/>
  <c r="BA3" i="5"/>
  <c r="E44" i="6"/>
  <c r="H9" i="1"/>
  <c r="I9" i="1" s="1"/>
  <c r="F12" i="1"/>
  <c r="G10" i="1"/>
  <c r="V3" i="5"/>
  <c r="E3" i="5"/>
  <c r="AK3" i="5"/>
  <c r="AN3" i="5"/>
  <c r="AU3" i="5"/>
  <c r="AE3" i="5"/>
  <c r="O3" i="5"/>
  <c r="M3" i="5"/>
  <c r="AC3" i="5"/>
  <c r="AF3" i="5"/>
  <c r="AQ3" i="5"/>
  <c r="AA3" i="5"/>
  <c r="AW3" i="5"/>
  <c r="AZ3" i="5"/>
  <c r="T3" i="5"/>
  <c r="AP3" i="5"/>
  <c r="Z3" i="5"/>
  <c r="H3" i="5"/>
  <c r="F3" i="5"/>
  <c r="F15" i="1"/>
  <c r="AL3" i="5"/>
  <c r="AR3" i="5"/>
  <c r="AM3" i="5"/>
  <c r="N3" i="5"/>
  <c r="D6" i="6"/>
  <c r="G13" i="1"/>
  <c r="G14" i="1"/>
  <c r="G15" i="1"/>
  <c r="F10" i="1"/>
  <c r="H14" i="1"/>
  <c r="I14" i="1" s="1"/>
  <c r="F13" i="1"/>
  <c r="H13" i="1"/>
  <c r="I13" i="1" s="1"/>
  <c r="H7" i="1"/>
  <c r="I7" i="1" s="1"/>
  <c r="H12" i="1"/>
  <c r="I12" i="1" s="1"/>
  <c r="G9" i="1"/>
  <c r="F9" i="1"/>
  <c r="F11" i="1"/>
  <c r="J3" i="5"/>
  <c r="AT3" i="5"/>
  <c r="Y3" i="5"/>
  <c r="X3" i="5"/>
  <c r="Q3" i="5"/>
  <c r="L3" i="5"/>
  <c r="P3" i="5"/>
  <c r="C3" i="5"/>
  <c r="K3" i="5"/>
  <c r="R3" i="5"/>
  <c r="AH3" i="5"/>
  <c r="AX3" i="5"/>
  <c r="AJ3" i="5"/>
  <c r="AG3" i="5"/>
  <c r="S3" i="5"/>
  <c r="AI3" i="5"/>
  <c r="AY3" i="5"/>
  <c r="AV3" i="5"/>
  <c r="AS3" i="5"/>
  <c r="V2" i="5" l="1"/>
  <c r="V1" i="5" s="1"/>
  <c r="G2" i="5"/>
  <c r="G1" i="5" s="1"/>
  <c r="I2" i="5"/>
  <c r="I1" i="5" s="1"/>
  <c r="AO2" i="5"/>
  <c r="AO1" i="5" s="1"/>
  <c r="AV2" i="5"/>
  <c r="AV1" i="5" s="1"/>
  <c r="R2" i="5"/>
  <c r="R1" i="5" s="1"/>
  <c r="Z2" i="5"/>
  <c r="Z1" i="5" s="1"/>
  <c r="AC2" i="5"/>
  <c r="AC1" i="5" s="1"/>
  <c r="AJ2" i="5"/>
  <c r="AJ1" i="5" s="1"/>
  <c r="AT2" i="5"/>
  <c r="AT1" i="5" s="1"/>
  <c r="AR2" i="5"/>
  <c r="AR1" i="5" s="1"/>
  <c r="AP2" i="5"/>
  <c r="AP1" i="5" s="1"/>
  <c r="M2" i="5"/>
  <c r="M1" i="5" s="1"/>
  <c r="AN2" i="5"/>
  <c r="AN1" i="5" s="1"/>
  <c r="W2" i="5"/>
  <c r="W1" i="5" s="1"/>
  <c r="AI2" i="5"/>
  <c r="AI1" i="5" s="1"/>
  <c r="AX2" i="5"/>
  <c r="AX1" i="5" s="1"/>
  <c r="Q2" i="5"/>
  <c r="Q1" i="5" s="1"/>
  <c r="D2" i="5"/>
  <c r="D1" i="5" s="1"/>
  <c r="U2" i="5"/>
  <c r="U1" i="5" s="1"/>
  <c r="AL2" i="5"/>
  <c r="AL1" i="5" s="1"/>
  <c r="F2" i="5"/>
  <c r="F1" i="5" s="1"/>
  <c r="T2" i="5"/>
  <c r="T1" i="5" s="1"/>
  <c r="AQ2" i="5"/>
  <c r="AQ1" i="5" s="1"/>
  <c r="O2" i="5"/>
  <c r="O1" i="5" s="1"/>
  <c r="AK2" i="5"/>
  <c r="AK1" i="5" s="1"/>
  <c r="AB2" i="5"/>
  <c r="AB1" i="5" s="1"/>
  <c r="AG2" i="5"/>
  <c r="AG1" i="5" s="1"/>
  <c r="P2" i="5"/>
  <c r="P1" i="5" s="1"/>
  <c r="Y2" i="5"/>
  <c r="Y1" i="5" s="1"/>
  <c r="AM2" i="5"/>
  <c r="AM1" i="5" s="1"/>
  <c r="AW2" i="5"/>
  <c r="AW1" i="5" s="1"/>
  <c r="AU2" i="5"/>
  <c r="AU1" i="5" s="1"/>
  <c r="BA2" i="5"/>
  <c r="BA1" i="5" s="1"/>
  <c r="AY2" i="5"/>
  <c r="AY1" i="5" s="1"/>
  <c r="K2" i="5"/>
  <c r="K1" i="5" s="1"/>
  <c r="L2" i="5"/>
  <c r="L1" i="5" s="1"/>
  <c r="AA2" i="5"/>
  <c r="AA1" i="5" s="1"/>
  <c r="AS2" i="5"/>
  <c r="AS1" i="5" s="1"/>
  <c r="S2" i="5"/>
  <c r="S1" i="5" s="1"/>
  <c r="AH2" i="5"/>
  <c r="AH1" i="5" s="1"/>
  <c r="C2" i="5"/>
  <c r="C1" i="5" s="1"/>
  <c r="X2" i="5"/>
  <c r="X1" i="5" s="1"/>
  <c r="J2" i="5"/>
  <c r="J1" i="5" s="1"/>
  <c r="BB2" i="5"/>
  <c r="BB1" i="5" s="1"/>
  <c r="N2" i="5"/>
  <c r="N1" i="5" s="1"/>
  <c r="H2" i="5"/>
  <c r="H1" i="5" s="1"/>
  <c r="AZ2" i="5"/>
  <c r="AZ1" i="5" s="1"/>
  <c r="AF2" i="5"/>
  <c r="AF1" i="5" s="1"/>
  <c r="AE2" i="5"/>
  <c r="AE1" i="5" s="1"/>
  <c r="E2" i="5"/>
  <c r="E1" i="5" s="1"/>
  <c r="AD2" i="5"/>
  <c r="AD1" i="5" s="1"/>
  <c r="B33" i="1" l="1"/>
  <c r="G32" i="1"/>
  <c r="B32" i="1"/>
  <c r="B34" i="1"/>
  <c r="B24" i="1"/>
  <c r="G35" i="1"/>
  <c r="F34" i="1"/>
  <c r="F35" i="1"/>
  <c r="G27" i="1"/>
  <c r="H27" i="1"/>
  <c r="I27" i="1" s="1"/>
  <c r="H33" i="1"/>
  <c r="I33" i="1" s="1"/>
  <c r="F32" i="1"/>
  <c r="B35" i="1"/>
  <c r="B31" i="1"/>
  <c r="F21" i="1"/>
  <c r="F25" i="1"/>
  <c r="F30" i="1"/>
  <c r="H24" i="1"/>
  <c r="I24" i="1" s="1"/>
  <c r="F37" i="1"/>
  <c r="G33" i="1"/>
  <c r="G26" i="1"/>
  <c r="B27" i="1"/>
  <c r="F24" i="1"/>
  <c r="H21" i="1"/>
  <c r="I21" i="1" s="1"/>
  <c r="G25" i="1"/>
  <c r="H32" i="1"/>
  <c r="I32" i="1" s="1"/>
  <c r="F31" i="1"/>
  <c r="G24" i="1"/>
  <c r="F33" i="1"/>
  <c r="G37" i="1"/>
  <c r="B36" i="1"/>
  <c r="H37" i="1"/>
  <c r="I37" i="1" s="1"/>
  <c r="H30" i="1"/>
  <c r="I30" i="1" s="1"/>
  <c r="H23" i="1"/>
  <c r="I23" i="1" s="1"/>
  <c r="H26" i="1"/>
  <c r="I26" i="1" s="1"/>
  <c r="B29" i="1"/>
  <c r="F26" i="1"/>
  <c r="F27" i="1"/>
  <c r="H34" i="1"/>
  <c r="I34" i="1" s="1"/>
  <c r="H35" i="1"/>
  <c r="I35" i="1" s="1"/>
  <c r="H22" i="1"/>
  <c r="I22" i="1" s="1"/>
  <c r="G23" i="1"/>
  <c r="F23" i="1"/>
  <c r="H36" i="1"/>
  <c r="I36" i="1" s="1"/>
  <c r="G20" i="1"/>
  <c r="G22" i="1"/>
  <c r="B23" i="1"/>
  <c r="B30" i="1"/>
  <c r="H29" i="1"/>
  <c r="I29" i="1" s="1"/>
  <c r="F28" i="1"/>
  <c r="H31" i="1"/>
  <c r="I31" i="1" s="1"/>
  <c r="F36" i="1"/>
  <c r="B28" i="1"/>
  <c r="F22" i="1"/>
  <c r="H28" i="1"/>
  <c r="I28" i="1" s="1"/>
  <c r="G31" i="1"/>
  <c r="G34" i="1"/>
  <c r="H20" i="1"/>
  <c r="I20" i="1" s="1"/>
  <c r="G29" i="1"/>
  <c r="G28" i="1"/>
  <c r="B25" i="1"/>
  <c r="G21" i="1"/>
  <c r="B21" i="1"/>
  <c r="G36" i="1"/>
  <c r="B20" i="1"/>
  <c r="B37" i="1"/>
  <c r="H25" i="1"/>
  <c r="I25" i="1" s="1"/>
  <c r="B22" i="1"/>
  <c r="F29" i="1"/>
  <c r="G30" i="1"/>
  <c r="F20" i="1"/>
  <c r="B26" i="1"/>
  <c r="E29" i="1" l="1"/>
  <c r="C29" i="1"/>
  <c r="E34" i="1"/>
  <c r="C34" i="1"/>
  <c r="C21" i="1"/>
  <c r="E21" i="1"/>
  <c r="E23" i="1"/>
  <c r="C23" i="1"/>
  <c r="C36" i="1"/>
  <c r="E36" i="1"/>
  <c r="E32" i="1"/>
  <c r="C32" i="1"/>
  <c r="C26" i="1"/>
  <c r="E26" i="1"/>
  <c r="E30" i="1"/>
  <c r="C30" i="1"/>
  <c r="C37" i="1"/>
  <c r="E37" i="1"/>
  <c r="E27" i="1"/>
  <c r="C27" i="1"/>
  <c r="E31" i="1"/>
  <c r="C31" i="1"/>
  <c r="E22" i="1"/>
  <c r="C22" i="1"/>
  <c r="C20" i="1"/>
  <c r="E20" i="1"/>
  <c r="E25" i="1"/>
  <c r="C25" i="1"/>
  <c r="E28" i="1"/>
  <c r="C28" i="1"/>
  <c r="E35" i="1"/>
  <c r="C35" i="1"/>
  <c r="E24" i="1"/>
  <c r="C24" i="1"/>
  <c r="E33" i="1"/>
  <c r="C33" i="1"/>
</calcChain>
</file>

<file path=xl/comments1.xml><?xml version="1.0" encoding="utf-8"?>
<comments xmlns="http://schemas.openxmlformats.org/spreadsheetml/2006/main">
  <authors>
    <author>Windows User</author>
  </authors>
  <commentList>
    <comment ref="H6" authorId="0" shapeId="0">
      <text>
        <r>
          <rPr>
            <sz val="9"/>
            <color indexed="81"/>
            <rFont val="Tahoma"/>
            <family val="2"/>
          </rPr>
          <t>Add an apostrophe in front of the text to prevent it from being displayed as a date on the Dashboard.
Eg. '100000</t>
        </r>
      </text>
    </comment>
  </commentList>
</comments>
</file>

<file path=xl/connections.xml><?xml version="1.0" encoding="utf-8"?>
<connections xmlns="http://schemas.openxmlformats.org/spreadsheetml/2006/main">
  <connection id="1" name="zar" type="4" reconnectionMethod="2" refreshedVersion="0" background="1">
    <webPr xml="1" sourceData="1" parsePre="1" consecutive="1" url="http://www.floatrates.com/daily/zar.xml" htmlTables="1"/>
  </connection>
</connections>
</file>

<file path=xl/sharedStrings.xml><?xml version="1.0" encoding="utf-8"?>
<sst xmlns="http://schemas.openxmlformats.org/spreadsheetml/2006/main" count="3749" uniqueCount="1486">
  <si>
    <t>Item</t>
  </si>
  <si>
    <t>Number</t>
  </si>
  <si>
    <t>Issue Date</t>
  </si>
  <si>
    <t>Valid Days</t>
  </si>
  <si>
    <t>XXX11DD</t>
  </si>
  <si>
    <t>Passport</t>
  </si>
  <si>
    <t>AN22PP</t>
  </si>
  <si>
    <t>Permit</t>
  </si>
  <si>
    <t>PP33PP</t>
  </si>
  <si>
    <t>Medical</t>
  </si>
  <si>
    <t>MM44DD</t>
  </si>
  <si>
    <t>Zim</t>
  </si>
  <si>
    <t>CVG</t>
  </si>
  <si>
    <t>Insurance</t>
  </si>
  <si>
    <t>Zam</t>
  </si>
  <si>
    <t>Hazchem</t>
  </si>
  <si>
    <t>International Licence</t>
  </si>
  <si>
    <t>IL44DD</t>
  </si>
  <si>
    <t>HH33PP</t>
  </si>
  <si>
    <t>Defensive</t>
  </si>
  <si>
    <t>DD44DD</t>
  </si>
  <si>
    <t>Driver's Licence</t>
  </si>
  <si>
    <t>Trailer Licence</t>
  </si>
  <si>
    <t>Trailer 1: Afrit - XDH822GP</t>
  </si>
  <si>
    <t>Trailer 2: Afrit - XDH820GP</t>
  </si>
  <si>
    <t>Expiry Date</t>
  </si>
  <si>
    <t>Name</t>
  </si>
  <si>
    <t>Surname</t>
  </si>
  <si>
    <t>From</t>
  </si>
  <si>
    <t>To</t>
  </si>
  <si>
    <t>Mack</t>
  </si>
  <si>
    <t>Gwatiringa</t>
  </si>
  <si>
    <t>Driver:</t>
  </si>
  <si>
    <t>Registration</t>
  </si>
  <si>
    <t>Description</t>
  </si>
  <si>
    <t>BG13ZTGP</t>
  </si>
  <si>
    <t>Volvo FH440</t>
  </si>
  <si>
    <t>Horse:</t>
  </si>
  <si>
    <t>H:Vehicle License</t>
  </si>
  <si>
    <t>H:Service (KM)</t>
  </si>
  <si>
    <t>H:Permit</t>
  </si>
  <si>
    <t>H:CVG</t>
  </si>
  <si>
    <t>H:Insurance</t>
  </si>
  <si>
    <t>H:</t>
  </si>
  <si>
    <t>H:H:Zim</t>
  </si>
  <si>
    <t>100000</t>
  </si>
  <si>
    <t>120000</t>
  </si>
  <si>
    <t>H:Carbon Tax</t>
  </si>
  <si>
    <t>H:H:Zam</t>
  </si>
  <si>
    <t>H:Carrier's License</t>
  </si>
  <si>
    <t>H:Carbon Tax (3 Mnts)</t>
  </si>
  <si>
    <t>Driver</t>
  </si>
  <si>
    <t>LOAD</t>
  </si>
  <si>
    <t>USD</t>
  </si>
  <si>
    <t>BWP</t>
  </si>
  <si>
    <t>Rate(ZAR)</t>
  </si>
  <si>
    <t>Load Details</t>
  </si>
  <si>
    <t>Route: SA |Bots | Zim |Zam</t>
  </si>
  <si>
    <t>Loading Date:</t>
  </si>
  <si>
    <t xml:space="preserve">Dispatch Date: </t>
  </si>
  <si>
    <t>2018-01-01</t>
  </si>
  <si>
    <t>Loading Point:</t>
  </si>
  <si>
    <t>J'burg</t>
  </si>
  <si>
    <t>Offloading Point:</t>
  </si>
  <si>
    <t>Kitwe</t>
  </si>
  <si>
    <t>Customer:</t>
  </si>
  <si>
    <t>Carlisle Transport</t>
  </si>
  <si>
    <t>Trailer 1:</t>
  </si>
  <si>
    <t>Trailer 2:</t>
  </si>
  <si>
    <t>VFY329GP</t>
  </si>
  <si>
    <t>SA</t>
  </si>
  <si>
    <t>North Bound</t>
  </si>
  <si>
    <t>South Bound</t>
  </si>
  <si>
    <t>Tolls</t>
  </si>
  <si>
    <t>Clearance</t>
  </si>
  <si>
    <t>Sub-Total</t>
  </si>
  <si>
    <t>Variable Costs</t>
  </si>
  <si>
    <t>Coupon</t>
  </si>
  <si>
    <t>Expirey Date</t>
  </si>
  <si>
    <t>Agent</t>
  </si>
  <si>
    <t>Carbon Tax</t>
  </si>
  <si>
    <t>Runner</t>
  </si>
  <si>
    <t>Agric</t>
  </si>
  <si>
    <t>Gate Pass</t>
  </si>
  <si>
    <t>CVGs</t>
  </si>
  <si>
    <t>Port Health</t>
  </si>
  <si>
    <t>Emma</t>
  </si>
  <si>
    <t>Zambia</t>
  </si>
  <si>
    <t>Toll Fee</t>
  </si>
  <si>
    <t>Siyavonga</t>
  </si>
  <si>
    <t>Carriers Licence</t>
  </si>
  <si>
    <t>Total</t>
  </si>
  <si>
    <t>Other</t>
  </si>
  <si>
    <t>Driver Allowance</t>
  </si>
  <si>
    <t>Parking</t>
  </si>
  <si>
    <t>Trip Total:</t>
  </si>
  <si>
    <t>Cash Handed:</t>
  </si>
  <si>
    <t>Dispatcher Signature:</t>
  </si>
  <si>
    <t>Driver Signature:</t>
  </si>
  <si>
    <t>Registration #</t>
  </si>
  <si>
    <t>countryCode</t>
  </si>
  <si>
    <t>countryName</t>
  </si>
  <si>
    <t>isoNumeric</t>
  </si>
  <si>
    <t>isoAlpha3</t>
  </si>
  <si>
    <t>fipsCode</t>
  </si>
  <si>
    <t>continent</t>
  </si>
  <si>
    <t>continentName</t>
  </si>
  <si>
    <t>capital</t>
  </si>
  <si>
    <t>areaInSqKm</t>
  </si>
  <si>
    <t>population</t>
  </si>
  <si>
    <t>currencyCode</t>
  </si>
  <si>
    <t>languages</t>
  </si>
  <si>
    <t>geonameId</t>
  </si>
  <si>
    <t>west</t>
  </si>
  <si>
    <t>north</t>
  </si>
  <si>
    <t>east</t>
  </si>
  <si>
    <t>south</t>
  </si>
  <si>
    <t>postalCodeFormat</t>
  </si>
  <si>
    <t>AF</t>
  </si>
  <si>
    <t>AG</t>
  </si>
  <si>
    <t>AO</t>
  </si>
  <si>
    <t>BF</t>
  </si>
  <si>
    <t>BI</t>
  </si>
  <si>
    <t>BJ</t>
  </si>
  <si>
    <t>BN</t>
  </si>
  <si>
    <t>BW</t>
  </si>
  <si>
    <t>BY</t>
  </si>
  <si>
    <t>CD</t>
  </si>
  <si>
    <t>CF</t>
  </si>
  <si>
    <t>CG</t>
  </si>
  <si>
    <t>CI</t>
  </si>
  <si>
    <t>CM</t>
  </si>
  <si>
    <t>CN</t>
  </si>
  <si>
    <t>CV</t>
  </si>
  <si>
    <t>DJ</t>
  </si>
  <si>
    <t>DZ</t>
  </si>
  <si>
    <t>EG</t>
  </si>
  <si>
    <t>EH</t>
  </si>
  <si>
    <t>ER</t>
  </si>
  <si>
    <t>ET</t>
  </si>
  <si>
    <t>GA</t>
  </si>
  <si>
    <t>GB</t>
  </si>
  <si>
    <t>GH</t>
  </si>
  <si>
    <t>GM</t>
  </si>
  <si>
    <t>GN</t>
  </si>
  <si>
    <t>GQ</t>
  </si>
  <si>
    <t>GW</t>
  </si>
  <si>
    <t>KE</t>
  </si>
  <si>
    <t>KM</t>
  </si>
  <si>
    <t>LI</t>
  </si>
  <si>
    <t>LR</t>
  </si>
  <si>
    <t>LS</t>
  </si>
  <si>
    <t>LT</t>
  </si>
  <si>
    <t>LY</t>
  </si>
  <si>
    <t>MA</t>
  </si>
  <si>
    <t>MF</t>
  </si>
  <si>
    <t>MG</t>
  </si>
  <si>
    <t>ML</t>
  </si>
  <si>
    <t>MO</t>
  </si>
  <si>
    <t>MP</t>
  </si>
  <si>
    <t>MR</t>
  </si>
  <si>
    <t>MU</t>
  </si>
  <si>
    <t>MW</t>
  </si>
  <si>
    <t>MZ</t>
  </si>
  <si>
    <t>NA</t>
  </si>
  <si>
    <t>NE</t>
  </si>
  <si>
    <t>NG</t>
  </si>
  <si>
    <t>NI</t>
  </si>
  <si>
    <t>RE</t>
  </si>
  <si>
    <t>RW</t>
  </si>
  <si>
    <t>SC</t>
  </si>
  <si>
    <t>SD</t>
  </si>
  <si>
    <t>SE</t>
  </si>
  <si>
    <t>SG</t>
  </si>
  <si>
    <t>SH</t>
  </si>
  <si>
    <t>SL</t>
  </si>
  <si>
    <t>SN</t>
  </si>
  <si>
    <t>SO</t>
  </si>
  <si>
    <t>SS</t>
  </si>
  <si>
    <t>ST</t>
  </si>
  <si>
    <t>SZ</t>
  </si>
  <si>
    <t>TD</t>
  </si>
  <si>
    <t>TG</t>
  </si>
  <si>
    <t>TN</t>
  </si>
  <si>
    <t>TO</t>
  </si>
  <si>
    <t>TZ</t>
  </si>
  <si>
    <t>UG</t>
  </si>
  <si>
    <t>YT</t>
  </si>
  <si>
    <t>ZA</t>
  </si>
  <si>
    <t>ZM</t>
  </si>
  <si>
    <t>ZW</t>
  </si>
  <si>
    <t>Angola</t>
  </si>
  <si>
    <t>Burkina Faso</t>
  </si>
  <si>
    <t>Burundi</t>
  </si>
  <si>
    <t>Benin</t>
  </si>
  <si>
    <t>Botswana</t>
  </si>
  <si>
    <t>Democratic Republic of the Congo</t>
  </si>
  <si>
    <t>Central African Republic</t>
  </si>
  <si>
    <t>Republic of the Congo</t>
  </si>
  <si>
    <t>Ivory Coast</t>
  </si>
  <si>
    <t>Cameroon</t>
  </si>
  <si>
    <t>Cape Verde</t>
  </si>
  <si>
    <t>Djibouti</t>
  </si>
  <si>
    <t>Algeria</t>
  </si>
  <si>
    <t>Egypt</t>
  </si>
  <si>
    <t>Western Sahara</t>
  </si>
  <si>
    <t>Eritrea</t>
  </si>
  <si>
    <t>Ethiopia</t>
  </si>
  <si>
    <t>Gabon</t>
  </si>
  <si>
    <t>Ghana</t>
  </si>
  <si>
    <t>Gambia</t>
  </si>
  <si>
    <t>Guinea</t>
  </si>
  <si>
    <t>Equatorial Guinea</t>
  </si>
  <si>
    <t>Guinea-Bissau</t>
  </si>
  <si>
    <t>Kenya</t>
  </si>
  <si>
    <t>Comoros</t>
  </si>
  <si>
    <t>Liberia</t>
  </si>
  <si>
    <t>Lesotho</t>
  </si>
  <si>
    <t>Libya</t>
  </si>
  <si>
    <t>Morocco</t>
  </si>
  <si>
    <t>Madagascar</t>
  </si>
  <si>
    <t>Mali</t>
  </si>
  <si>
    <t>Mauritania</t>
  </si>
  <si>
    <t>Mauritius</t>
  </si>
  <si>
    <t>Malawi</t>
  </si>
  <si>
    <t>Mozambique</t>
  </si>
  <si>
    <t>Namibia</t>
  </si>
  <si>
    <t>Niger</t>
  </si>
  <si>
    <t>Nigeria</t>
  </si>
  <si>
    <t>Réunion</t>
  </si>
  <si>
    <t>Rwanda</t>
  </si>
  <si>
    <t>Seychelles</t>
  </si>
  <si>
    <t>Sudan</t>
  </si>
  <si>
    <t>Saint Helena</t>
  </si>
  <si>
    <t>Sierra Leone</t>
  </si>
  <si>
    <t>Senegal</t>
  </si>
  <si>
    <t>Somalia</t>
  </si>
  <si>
    <t>South Sudan</t>
  </si>
  <si>
    <t>São Tomé and Príncipe</t>
  </si>
  <si>
    <t>Swaziland</t>
  </si>
  <si>
    <t>Chad</t>
  </si>
  <si>
    <t>Togo</t>
  </si>
  <si>
    <t>Tunisia</t>
  </si>
  <si>
    <t>Tanzania</t>
  </si>
  <si>
    <t>Uganda</t>
  </si>
  <si>
    <t>Mayotte</t>
  </si>
  <si>
    <t>South Africa</t>
  </si>
  <si>
    <t>Zimbabwe</t>
  </si>
  <si>
    <t>AGO</t>
  </si>
  <si>
    <t>BFA</t>
  </si>
  <si>
    <t>BDI</t>
  </si>
  <si>
    <t>BEN</t>
  </si>
  <si>
    <t>BWA</t>
  </si>
  <si>
    <t>COD</t>
  </si>
  <si>
    <t>CAF</t>
  </si>
  <si>
    <t>COG</t>
  </si>
  <si>
    <t>CIV</t>
  </si>
  <si>
    <t>CMR</t>
  </si>
  <si>
    <t>CPV</t>
  </si>
  <si>
    <t>DJI</t>
  </si>
  <si>
    <t>DZA</t>
  </si>
  <si>
    <t>EGY</t>
  </si>
  <si>
    <t>ESH</t>
  </si>
  <si>
    <t>ERI</t>
  </si>
  <si>
    <t>ETH</t>
  </si>
  <si>
    <t>GAB</t>
  </si>
  <si>
    <t>GHA</t>
  </si>
  <si>
    <t>GMB</t>
  </si>
  <si>
    <t>GIN</t>
  </si>
  <si>
    <t>GNQ</t>
  </si>
  <si>
    <t>GNB</t>
  </si>
  <si>
    <t>KEN</t>
  </si>
  <si>
    <t>COM</t>
  </si>
  <si>
    <t>LBR</t>
  </si>
  <si>
    <t>LSO</t>
  </si>
  <si>
    <t>LBY</t>
  </si>
  <si>
    <t>MAR</t>
  </si>
  <si>
    <t>MDG</t>
  </si>
  <si>
    <t>MKD</t>
  </si>
  <si>
    <t>MLI</t>
  </si>
  <si>
    <t>MRT</t>
  </si>
  <si>
    <t>MUS</t>
  </si>
  <si>
    <t>MWI</t>
  </si>
  <si>
    <t>MOZ</t>
  </si>
  <si>
    <t>NAM</t>
  </si>
  <si>
    <t>NER</t>
  </si>
  <si>
    <t>NGA</t>
  </si>
  <si>
    <t>REU</t>
  </si>
  <si>
    <t>RWA</t>
  </si>
  <si>
    <t>SYC</t>
  </si>
  <si>
    <t>SDN</t>
  </si>
  <si>
    <t>SHN</t>
  </si>
  <si>
    <t>SLE</t>
  </si>
  <si>
    <t>SEN</t>
  </si>
  <si>
    <t>SOM</t>
  </si>
  <si>
    <t>SSD</t>
  </si>
  <si>
    <t>STP</t>
  </si>
  <si>
    <t>SWZ</t>
  </si>
  <si>
    <t>TCD</t>
  </si>
  <si>
    <t>TGO</t>
  </si>
  <si>
    <t>TUN</t>
  </si>
  <si>
    <t>TZA</t>
  </si>
  <si>
    <t>UGA</t>
  </si>
  <si>
    <t>MYT</t>
  </si>
  <si>
    <t>ZAF</t>
  </si>
  <si>
    <t>ZMB</t>
  </si>
  <si>
    <t>ZWE</t>
  </si>
  <si>
    <t>UV</t>
  </si>
  <si>
    <t>BC</t>
  </si>
  <si>
    <t>CT</t>
  </si>
  <si>
    <t>IV</t>
  </si>
  <si>
    <t>WI</t>
  </si>
  <si>
    <t>GV</t>
  </si>
  <si>
    <t>EK</t>
  </si>
  <si>
    <t>PU</t>
  </si>
  <si>
    <t>MI</t>
  </si>
  <si>
    <t>WA</t>
  </si>
  <si>
    <t>SU</t>
  </si>
  <si>
    <t>OD</t>
  </si>
  <si>
    <t>TP</t>
  </si>
  <si>
    <t>WZ</t>
  </si>
  <si>
    <t>TS</t>
  </si>
  <si>
    <t>SF</t>
  </si>
  <si>
    <t>ZI</t>
  </si>
  <si>
    <t>Africa</t>
  </si>
  <si>
    <t>Luanda</t>
  </si>
  <si>
    <t>Ouagadougou</t>
  </si>
  <si>
    <t>Bujumbura</t>
  </si>
  <si>
    <t>Porto-Novo</t>
  </si>
  <si>
    <t>Gaborone</t>
  </si>
  <si>
    <t>Kinshasa</t>
  </si>
  <si>
    <t>Bangui</t>
  </si>
  <si>
    <t>Brazzaville</t>
  </si>
  <si>
    <t>Yamoussoukro</t>
  </si>
  <si>
    <t>Yaoundé</t>
  </si>
  <si>
    <t>Praia</t>
  </si>
  <si>
    <t>Algiers</t>
  </si>
  <si>
    <t>Cairo</t>
  </si>
  <si>
    <t>Laâyoune / El Aaiún</t>
  </si>
  <si>
    <t>Asmara</t>
  </si>
  <si>
    <t>Addis Ababa</t>
  </si>
  <si>
    <t>Libreville</t>
  </si>
  <si>
    <t>Accra</t>
  </si>
  <si>
    <t>Bathurst</t>
  </si>
  <si>
    <t>Conakry</t>
  </si>
  <si>
    <t>Malabo</t>
  </si>
  <si>
    <t>Bissau</t>
  </si>
  <si>
    <t>Nairobi</t>
  </si>
  <si>
    <t>Moroni</t>
  </si>
  <si>
    <t>Monrovia</t>
  </si>
  <si>
    <t>Maseru</t>
  </si>
  <si>
    <t>Tripoli</t>
  </si>
  <si>
    <t>Rabat</t>
  </si>
  <si>
    <t>Antananarivo</t>
  </si>
  <si>
    <t>Bamako</t>
  </si>
  <si>
    <t>Nouakchott</t>
  </si>
  <si>
    <t>Port Louis</t>
  </si>
  <si>
    <t>Lilongwe</t>
  </si>
  <si>
    <t>Maputo</t>
  </si>
  <si>
    <t>Windhoek</t>
  </si>
  <si>
    <t>Niamey</t>
  </si>
  <si>
    <t>Abuja</t>
  </si>
  <si>
    <t>Saint-Denis</t>
  </si>
  <si>
    <t>Kigali</t>
  </si>
  <si>
    <t>Victoria</t>
  </si>
  <si>
    <t>Khartoum</t>
  </si>
  <si>
    <t>Jamestown</t>
  </si>
  <si>
    <t>Freetown</t>
  </si>
  <si>
    <t>Dakar</t>
  </si>
  <si>
    <t>Mogadishu</t>
  </si>
  <si>
    <t>Juba</t>
  </si>
  <si>
    <t>São Tomé</t>
  </si>
  <si>
    <t>Mbabane</t>
  </si>
  <si>
    <t>N'Djamena</t>
  </si>
  <si>
    <t>Lomé</t>
  </si>
  <si>
    <t>Tunis</t>
  </si>
  <si>
    <t>Dodoma</t>
  </si>
  <si>
    <t>Kampala</t>
  </si>
  <si>
    <t>Mamoudzou</t>
  </si>
  <si>
    <t>Pretoria</t>
  </si>
  <si>
    <t>Lusaka</t>
  </si>
  <si>
    <t>Harare</t>
  </si>
  <si>
    <t>EUR</t>
  </si>
  <si>
    <t>AED</t>
  </si>
  <si>
    <t>AFN</t>
  </si>
  <si>
    <t>XCD</t>
  </si>
  <si>
    <t>ALL</t>
  </si>
  <si>
    <t>AMD</t>
  </si>
  <si>
    <t>AOA</t>
  </si>
  <si>
    <t>ARS</t>
  </si>
  <si>
    <t>AUD</t>
  </si>
  <si>
    <t>AWG</t>
  </si>
  <si>
    <t>AZN</t>
  </si>
  <si>
    <t>BAM</t>
  </si>
  <si>
    <t>BBD</t>
  </si>
  <si>
    <t>BDT</t>
  </si>
  <si>
    <t>XOF</t>
  </si>
  <si>
    <t>BGN</t>
  </si>
  <si>
    <t>BHD</t>
  </si>
  <si>
    <t>BIF</t>
  </si>
  <si>
    <t>BND</t>
  </si>
  <si>
    <t>BOB</t>
  </si>
  <si>
    <t>BRL</t>
  </si>
  <si>
    <t>BSD</t>
  </si>
  <si>
    <t>NOK</t>
  </si>
  <si>
    <t>BYN</t>
  </si>
  <si>
    <t>BZD</t>
  </si>
  <si>
    <t>CAD</t>
  </si>
  <si>
    <t>CDF</t>
  </si>
  <si>
    <t>XAF</t>
  </si>
  <si>
    <t>CHF</t>
  </si>
  <si>
    <t>NZD</t>
  </si>
  <si>
    <t>CLP</t>
  </si>
  <si>
    <t>CNY</t>
  </si>
  <si>
    <t>COP</t>
  </si>
  <si>
    <t>CRC</t>
  </si>
  <si>
    <t>CUP</t>
  </si>
  <si>
    <t>CVE</t>
  </si>
  <si>
    <t>ANG</t>
  </si>
  <si>
    <t>CZK</t>
  </si>
  <si>
    <t>DJF</t>
  </si>
  <si>
    <t>DKK</t>
  </si>
  <si>
    <t>DOP</t>
  </si>
  <si>
    <t>DZD</t>
  </si>
  <si>
    <t>EGP</t>
  </si>
  <si>
    <t>MAD</t>
  </si>
  <si>
    <t>ERN</t>
  </si>
  <si>
    <t>ETB</t>
  </si>
  <si>
    <t>FJD</t>
  </si>
  <si>
    <t>GBP</t>
  </si>
  <si>
    <t>GEL</t>
  </si>
  <si>
    <t>GHS</t>
  </si>
  <si>
    <t>GIP</t>
  </si>
  <si>
    <t>GMD</t>
  </si>
  <si>
    <t>GNF</t>
  </si>
  <si>
    <t>GTQ</t>
  </si>
  <si>
    <t>GYD</t>
  </si>
  <si>
    <t>HKD</t>
  </si>
  <si>
    <t>HNL</t>
  </si>
  <si>
    <t>HRK</t>
  </si>
  <si>
    <t>HTG</t>
  </si>
  <si>
    <t>HUF</t>
  </si>
  <si>
    <t>IDR</t>
  </si>
  <si>
    <t>ILS</t>
  </si>
  <si>
    <t>INR</t>
  </si>
  <si>
    <t>IQD</t>
  </si>
  <si>
    <t>IRR</t>
  </si>
  <si>
    <t>ISK</t>
  </si>
  <si>
    <t>JMD</t>
  </si>
  <si>
    <t>JOD</t>
  </si>
  <si>
    <t>JPY</t>
  </si>
  <si>
    <t>KES</t>
  </si>
  <si>
    <t>KGS</t>
  </si>
  <si>
    <t>KHR</t>
  </si>
  <si>
    <t>KMF</t>
  </si>
  <si>
    <t>KRW</t>
  </si>
  <si>
    <t>KWD</t>
  </si>
  <si>
    <t>KZT</t>
  </si>
  <si>
    <t>LAK</t>
  </si>
  <si>
    <t>LBP</t>
  </si>
  <si>
    <t>LKR</t>
  </si>
  <si>
    <t>LRD</t>
  </si>
  <si>
    <t>LSL</t>
  </si>
  <si>
    <t>LYD</t>
  </si>
  <si>
    <t>MDL</t>
  </si>
  <si>
    <t>MGA</t>
  </si>
  <si>
    <t>MMK</t>
  </si>
  <si>
    <t>MNT</t>
  </si>
  <si>
    <t>MOP</t>
  </si>
  <si>
    <t>MRO</t>
  </si>
  <si>
    <t>MUR</t>
  </si>
  <si>
    <t>MVR</t>
  </si>
  <si>
    <t>MWK</t>
  </si>
  <si>
    <t>MXN</t>
  </si>
  <si>
    <t>MYR</t>
  </si>
  <si>
    <t>MZN</t>
  </si>
  <si>
    <t>NAD</t>
  </si>
  <si>
    <t>XPF</t>
  </si>
  <si>
    <t>NGN</t>
  </si>
  <si>
    <t>NIO</t>
  </si>
  <si>
    <t>NPR</t>
  </si>
  <si>
    <t>OMR</t>
  </si>
  <si>
    <t>PAB</t>
  </si>
  <si>
    <t>PEN</t>
  </si>
  <si>
    <t>PGK</t>
  </si>
  <si>
    <t>PHP</t>
  </si>
  <si>
    <t>PKR</t>
  </si>
  <si>
    <t>PLN</t>
  </si>
  <si>
    <t>PYG</t>
  </si>
  <si>
    <t>QAR</t>
  </si>
  <si>
    <t>RON</t>
  </si>
  <si>
    <t>RSD</t>
  </si>
  <si>
    <t>RUB</t>
  </si>
  <si>
    <t>RWF</t>
  </si>
  <si>
    <t>SAR</t>
  </si>
  <si>
    <t>SBD</t>
  </si>
  <si>
    <t>SCR</t>
  </si>
  <si>
    <t>SDG</t>
  </si>
  <si>
    <t>SEK</t>
  </si>
  <si>
    <t>SGD</t>
  </si>
  <si>
    <t>SHP</t>
  </si>
  <si>
    <t>SLL</t>
  </si>
  <si>
    <t>SOS</t>
  </si>
  <si>
    <t>SRD</t>
  </si>
  <si>
    <t>SSP</t>
  </si>
  <si>
    <t>STD</t>
  </si>
  <si>
    <t>SYP</t>
  </si>
  <si>
    <t>SZL</t>
  </si>
  <si>
    <t>THB</t>
  </si>
  <si>
    <t>TJS</t>
  </si>
  <si>
    <t>TMT</t>
  </si>
  <si>
    <t>TND</t>
  </si>
  <si>
    <t>TOP</t>
  </si>
  <si>
    <t>TRY</t>
  </si>
  <si>
    <t>TTD</t>
  </si>
  <si>
    <t>TWD</t>
  </si>
  <si>
    <t>TZS</t>
  </si>
  <si>
    <t>UAH</t>
  </si>
  <si>
    <t>UGX</t>
  </si>
  <si>
    <t>UYU</t>
  </si>
  <si>
    <t>UZS</t>
  </si>
  <si>
    <t>VEF</t>
  </si>
  <si>
    <t>VND</t>
  </si>
  <si>
    <t>VUV</t>
  </si>
  <si>
    <t>WST</t>
  </si>
  <si>
    <t>YER</t>
  </si>
  <si>
    <t>ZAR</t>
  </si>
  <si>
    <t>ZMW</t>
  </si>
  <si>
    <t>ZWL</t>
  </si>
  <si>
    <t>pt-AO</t>
  </si>
  <si>
    <t>fr-BF,mos</t>
  </si>
  <si>
    <t>fr-BI,rn</t>
  </si>
  <si>
    <t>fr-BJ</t>
  </si>
  <si>
    <t>en-BW,tn-BW</t>
  </si>
  <si>
    <t>fr-CD,ln,ktu,kg,sw,lua</t>
  </si>
  <si>
    <t>fr-CF,sg,ln,kg</t>
  </si>
  <si>
    <t>fr-CG,kg,ln-CG</t>
  </si>
  <si>
    <t>fr-CI</t>
  </si>
  <si>
    <t>en-CM,fr-CM</t>
  </si>
  <si>
    <t>pt-CV</t>
  </si>
  <si>
    <t>fr-DJ,ar,so-DJ,aa</t>
  </si>
  <si>
    <t>ar-DZ</t>
  </si>
  <si>
    <t>ar-EG,en,fr</t>
  </si>
  <si>
    <t>ar,mey</t>
  </si>
  <si>
    <t>aa-ER,ar,tig,kun,ti-ER</t>
  </si>
  <si>
    <t>am,en-ET,om-ET,ti-ET,so-ET,sid</t>
  </si>
  <si>
    <t>fr-GA</t>
  </si>
  <si>
    <t>en-GH,ak,ee,tw</t>
  </si>
  <si>
    <t>en-GM,mnk,wof,wo,ff</t>
  </si>
  <si>
    <t>fr-GN</t>
  </si>
  <si>
    <t>es-GQ,fr</t>
  </si>
  <si>
    <t>en</t>
  </si>
  <si>
    <t>pt-GW,pov</t>
  </si>
  <si>
    <t>en-KE,sw-KE</t>
  </si>
  <si>
    <t>ar,fr-KM</t>
  </si>
  <si>
    <t>en-LR</t>
  </si>
  <si>
    <t>en-LS,st,zu,xh</t>
  </si>
  <si>
    <t>ar-LY,it,en</t>
  </si>
  <si>
    <t>ar-MA,ber,fr</t>
  </si>
  <si>
    <t>fr-MG,mg</t>
  </si>
  <si>
    <t>fr-ML,bm</t>
  </si>
  <si>
    <t>ar-MR,fuc,snk,fr,mey,wo</t>
  </si>
  <si>
    <t>en-MU,bho,fr</t>
  </si>
  <si>
    <t>ny,yao,tum,swk</t>
  </si>
  <si>
    <t>pt-MZ,vmw</t>
  </si>
  <si>
    <t>en-NA,af,de,hz,naq</t>
  </si>
  <si>
    <t>fr-NE,ha,kr,dje</t>
  </si>
  <si>
    <t>en-NG,ha,yo,ig,ff</t>
  </si>
  <si>
    <t>fr-RE</t>
  </si>
  <si>
    <t>rw,en-RW,fr-RW,sw</t>
  </si>
  <si>
    <t>en-SC,fr-SC</t>
  </si>
  <si>
    <t>ar-SD,en,fia</t>
  </si>
  <si>
    <t>en-SH</t>
  </si>
  <si>
    <t>en-SL,men,tem</t>
  </si>
  <si>
    <t>fr-SN,wo,fuc,mnk</t>
  </si>
  <si>
    <t>so-SO,ar-SO,it,en-SO</t>
  </si>
  <si>
    <t>pt-ST</t>
  </si>
  <si>
    <t>en-SZ,ss-SZ</t>
  </si>
  <si>
    <t>fr-TD,ar-TD,sre</t>
  </si>
  <si>
    <t>fr-TG,ee,hna,kbp,dag,ha</t>
  </si>
  <si>
    <t>ar-TN,fr</t>
  </si>
  <si>
    <t>sw-TZ,en,ar</t>
  </si>
  <si>
    <t>en-UG,lg,sw,ar</t>
  </si>
  <si>
    <t>fr-YT</t>
  </si>
  <si>
    <t>zu,xh,af,nso,en-ZA,tn,st,ts,ss,ve,nr</t>
  </si>
  <si>
    <t>en-ZM,bem,loz,lun,lue,ny,toi</t>
  </si>
  <si>
    <t>en-ZW,sn,nr,nd</t>
  </si>
  <si>
    <t>######</t>
  </si>
  <si>
    <t>####</t>
  </si>
  <si>
    <t>#####</t>
  </si>
  <si>
    <t>###</t>
  </si>
  <si>
    <t>STHL 1ZZ</t>
  </si>
  <si>
    <t>@@  #####</t>
  </si>
  <si>
    <t>@###</t>
  </si>
  <si>
    <t>`</t>
  </si>
  <si>
    <t>title</t>
  </si>
  <si>
    <t>link</t>
  </si>
  <si>
    <t>xmlLink</t>
  </si>
  <si>
    <t>description</t>
  </si>
  <si>
    <t>language</t>
  </si>
  <si>
    <t>baseCurrency</t>
  </si>
  <si>
    <t>pubDate</t>
  </si>
  <si>
    <t>lastBuildDate</t>
  </si>
  <si>
    <t>baseName</t>
  </si>
  <si>
    <t>targetCurrency</t>
  </si>
  <si>
    <t>targetName</t>
  </si>
  <si>
    <t>exchangeRate</t>
  </si>
  <si>
    <t>title2</t>
  </si>
  <si>
    <t>link3</t>
  </si>
  <si>
    <t>description4</t>
  </si>
  <si>
    <t>pubDate5</t>
  </si>
  <si>
    <t>baseCurrency6</t>
  </si>
  <si>
    <t>XML Daily Foreign Exchange Rates for South African Rand (ZAR)</t>
  </si>
  <si>
    <t>http://www.floatrates.com/currency/zar/</t>
  </si>
  <si>
    <t>http://www.floatrates.com/daily/zar.xml</t>
  </si>
  <si>
    <t>XML Daily foreign exchange rates for South African Rand (ZAR) from the Float Rates. Published at Sat, 10 Mar 2018 12:00:01 GMT.</t>
  </si>
  <si>
    <t>Sat, 10 Mar 2018 12:00:01 GMT</t>
  </si>
  <si>
    <t>1 ZAR = 0.08419248 USD</t>
  </si>
  <si>
    <t>1 ZAR = 0.06826863 EUR</t>
  </si>
  <si>
    <t>1 ZAR = 0.06082814 GBP</t>
  </si>
  <si>
    <t>1 ZAR = 8.96717022 JPY</t>
  </si>
  <si>
    <t>1 ZAR = 0.07983354 CHF</t>
  </si>
  <si>
    <t>1 ZAR = 0.10843253 CAD</t>
  </si>
  <si>
    <t>1 ZAR = 0.10788059 AUD</t>
  </si>
  <si>
    <t>1 ZAR = 0.65642995 NOK</t>
  </si>
  <si>
    <t>1 ZAR = 3,076.03916274 VEF</t>
  </si>
  <si>
    <t>1 ZAR = 25.86791655 NGN</t>
  </si>
  <si>
    <t>1 ZAR = 128.21434789 LBP</t>
  </si>
  <si>
    <t>1 ZAR = 1.73216267 STN</t>
  </si>
  <si>
    <t>1 ZAR = 768.35771983 GNF</t>
  </si>
  <si>
    <t>1 ZAR = 0.20825117 GEL</t>
  </si>
  <si>
    <t>1 ZAR = 1.14442767 SCR</t>
  </si>
  <si>
    <t>1 ZAR = 241.81949956 COP</t>
  </si>
  <si>
    <t>1 ZAR = 0.28657888 PLN</t>
  </si>
  <si>
    <t>1 ZAR = 4.17001778 DOP</t>
  </si>
  <si>
    <t>1 ZAR = 7.02287119 BDT</t>
  </si>
  <si>
    <t>1 ZAR = 2.40146608 UYU</t>
  </si>
  <si>
    <t>1 ZAR = 0.17137750 FJD</t>
  </si>
  <si>
    <t>1 ZAR = 73.51388775 RWF</t>
  </si>
  <si>
    <t>1 ZAR = 662.13315027 SLL</t>
  </si>
  <si>
    <t>1 ZAR = 191.70499481 TZS</t>
  </si>
  <si>
    <t>1 ZAR = 21.28275573 HUF</t>
  </si>
  <si>
    <t>1 ZAR = 0.31587610 SAR</t>
  </si>
  <si>
    <t>1 ZAR = 0.50693978 HRK</t>
  </si>
  <si>
    <t>1 ZAR = 5.75123464 KGS</t>
  </si>
  <si>
    <t>1 ZAR = 2.63123814 NIO</t>
  </si>
  <si>
    <t>1 ZAR = 11.22522606 LRD</t>
  </si>
  <si>
    <t>1 ZAR = 1.53918472 SDG</t>
  </si>
  <si>
    <t>1 ZAR = 5.30195179 MZN</t>
  </si>
  <si>
    <t>1 ZAR = 203.51684647 MNT</t>
  </si>
  <si>
    <t>1 ZAR = 1,161.19355438 IDR</t>
  </si>
  <si>
    <t>1 ZAR = 13.10503918 LKR</t>
  </si>
  <si>
    <t>1 ZAR = 1.57231305 MXN</t>
  </si>
  <si>
    <t>1 ZAR = 0.74704130 TJS</t>
  </si>
  <si>
    <t>1 ZAR = 0.08516056 PAB</t>
  </si>
  <si>
    <t>1 ZAR = 0.23066767 XCD</t>
  </si>
  <si>
    <t>1 ZAR = 5.46322789 HTG</t>
  </si>
  <si>
    <t>1 ZAR = 0.18267484 TOP</t>
  </si>
  <si>
    <t>1 ZAR = 9.62621110 DZD</t>
  </si>
  <si>
    <t>1 ZAR = 89.96606960 KRW</t>
  </si>
  <si>
    <t>1 ZAR = 2.63906817 THB</t>
  </si>
  <si>
    <t>1 ZAR = 44.98430207 XOF</t>
  </si>
  <si>
    <t>1 ZAR = 1.48043664 EGP</t>
  </si>
  <si>
    <t>1 ZAR = 4.06457973 GMD</t>
  </si>
  <si>
    <t>1 ZAR = 0.15183651 AWG</t>
  </si>
  <si>
    <t>1 ZAR = 61.73271476 MWK</t>
  </si>
  <si>
    <t>1 ZAR = 0.62784747 GTQ</t>
  </si>
  <si>
    <t>1 ZAR = 0.80773292 BWP</t>
  </si>
  <si>
    <t>1 ZAR = 0.32949720 MYR</t>
  </si>
  <si>
    <t>1 ZAR = 0.11582993 NZD</t>
  </si>
  <si>
    <t>1 ZAR = 0.30934947 AED</t>
  </si>
  <si>
    <t>1 ZAR = 0.27318543 PGK</t>
  </si>
  <si>
    <t>1 ZAR = 0.06005324 JOD</t>
  </si>
  <si>
    <t>1 ZAR = 0.77940273 MAD</t>
  </si>
  <si>
    <t>1 ZAR = 15.05242194 DJF</t>
  </si>
  <si>
    <t>1 ZAR = 112.60414860 MMK</t>
  </si>
  <si>
    <t>1 ZAR = 1.31517523 MVR</t>
  </si>
  <si>
    <t>1 ZAR = 50.94532244 CLP</t>
  </si>
  <si>
    <t>1 ZAR = 9.32056192 PKR</t>
  </si>
  <si>
    <t>1 ZAR = 0.27413378 BRL</t>
  </si>
  <si>
    <t>1 ZAR = 0.16502526 BYN</t>
  </si>
  <si>
    <t>1 ZAR = 469.98775946 PYG</t>
  </si>
  <si>
    <t>1 ZAR = 0.17099000 BZD</t>
  </si>
  <si>
    <t>1 ZAR = 137.95765109 CDF</t>
  </si>
  <si>
    <t>1 ZAR = 2.01236546 HNL</t>
  </si>
  <si>
    <t>1 ZAR = 49.21489762 SOS</t>
  </si>
  <si>
    <t>1 ZAR = 0.50874034 DKK</t>
  </si>
  <si>
    <t>1 ZAR = 4.78703993 RUB</t>
  </si>
  <si>
    <t>1 ZAR = 0.31767208 RON</t>
  </si>
  <si>
    <t>1 ZAR = 40.75157398 AMD</t>
  </si>
  <si>
    <t>1 ZAR = 48.20580121 CRC</t>
  </si>
  <si>
    <t>1 ZAR = 10.84399197 JMD</t>
  </si>
  <si>
    <t>1 ZAR = 11.20858831 SSP</t>
  </si>
  <si>
    <t>1 ZAR = 1.00830101 LSL</t>
  </si>
  <si>
    <t>1 ZAR = 0.21627590 WST</t>
  </si>
  <si>
    <t>1 ZAR = 5.47987284 INR</t>
  </si>
  <si>
    <t>1 ZAR = 0.65995559 HKD</t>
  </si>
  <si>
    <t>1 ZAR = 0.29569727 TMT</t>
  </si>
  <si>
    <t>1 ZAR = 270.08062708 MGA</t>
  </si>
  <si>
    <t>1 ZAR = 0.63590570 SRD</t>
  </si>
  <si>
    <t>1 ZAR = 0.37871084 GHS</t>
  </si>
  <si>
    <t>1 ZAR = 2.99651499 MRU</t>
  </si>
  <si>
    <t>1 ZAR = 0.13407007 BAM</t>
  </si>
  <si>
    <t>1 ZAR = 26.96876297 KZT</t>
  </si>
  <si>
    <t>1 ZAR = 44.98430207 XAF</t>
  </si>
  <si>
    <t>1 ZAR = 2.20160016 UAH</t>
  </si>
  <si>
    <t>1 ZAR = 0.74485689 SVC</t>
  </si>
  <si>
    <t>1 ZAR = 7.68357720 CVE</t>
  </si>
  <si>
    <t>1 ZAR = 704.32790985 LAK</t>
  </si>
  <si>
    <t>1 ZAR = 0.08516056 CUP</t>
  </si>
  <si>
    <t>1 ZAR = 0.03168370 BHD</t>
  </si>
  <si>
    <t>1 ZAR = 0.06311757 LYD</t>
  </si>
  <si>
    <t>1 ZAR = 8.78151516 NPR</t>
  </si>
  <si>
    <t>1 ZAR = 0.20452475 TND</t>
  </si>
  <si>
    <t>1 ZAR = 1,924.06363048 VND</t>
  </si>
  <si>
    <t>1 ZAR = 8.08278320 RSD</t>
  </si>
  <si>
    <t>1 ZAR = 101.39936034 IQD</t>
  </si>
  <si>
    <t>1 ZAR = 8.18076657 XPF</t>
  </si>
  <si>
    <t>1 ZAR = 18.18770805 AOA</t>
  </si>
  <si>
    <t>1 ZAR = 342.50987749 KHR</t>
  </si>
  <si>
    <t>1 ZAR = 0.03238911 OMR</t>
  </si>
  <si>
    <t>1 ZAR = 0.16855731 BBD</t>
  </si>
  <si>
    <t>1 ZAR = 0.27455670 PEN</t>
  </si>
  <si>
    <t>1 ZAR = 1.71574023 ARS</t>
  </si>
  <si>
    <t>1 ZAR = 0.08516056 BSD</t>
  </si>
  <si>
    <t>1 ZAR = 33.72442052 KMF</t>
  </si>
  <si>
    <t>1 ZAR = 9.04661694 ALL</t>
  </si>
  <si>
    <t>1 ZAR = 8.61744047 KES</t>
  </si>
  <si>
    <t>1 ZAR = 1.73734851 CZK</t>
  </si>
  <si>
    <t>1 ZAR = 0.30689186 QAR</t>
  </si>
  <si>
    <t>1 ZAR = 0.13336833 BGN</t>
  </si>
  <si>
    <t>1 ZAR = 0.14408612 AZN</t>
  </si>
  <si>
    <t>1 ZAR = 0.58375639 BOB</t>
  </si>
  <si>
    <t>1 ZAR = 17.62764000 GYD</t>
  </si>
  <si>
    <t>1 ZAR = 0.06141869 GIP</t>
  </si>
  <si>
    <t>1 ZAR = 1.00830101 SZL</t>
  </si>
  <si>
    <t>1 ZAR = 311.00193422 UGX</t>
  </si>
  <si>
    <t>1 ZAR = 0.53329294 CNY</t>
  </si>
  <si>
    <t>1 ZAR = 8.42194036 ISK</t>
  </si>
  <si>
    <t>1 ZAR = 0.11088595 SGD</t>
  </si>
  <si>
    <t>1 ZAR = 0.32084982 TRY</t>
  </si>
  <si>
    <t>1 ZAR = 1.40537933 MDL</t>
  </si>
  <si>
    <t>1 ZAR = 5.91056557 AFN</t>
  </si>
  <si>
    <t>1 ZAR = 1.00830101 NAD</t>
  </si>
  <si>
    <t>1 ZAR = 43.54027079 SYP</t>
  </si>
  <si>
    <t>1 ZAR = 1.28231052 ERN</t>
  </si>
  <si>
    <t>1 ZAR = 9.17808327 VUV</t>
  </si>
  <si>
    <t>1 ZAR = 0.29067804 ILS</t>
  </si>
  <si>
    <t>1 ZAR = 0.69482854 SEK</t>
  </si>
  <si>
    <t>1 ZAR = 4.39069727 PHP</t>
  </si>
  <si>
    <t>1 ZAR = 690.71056516 UZS</t>
  </si>
  <si>
    <t>1 ZAR = 2.33251451 ETB</t>
  </si>
  <si>
    <t>1 ZAR = 0.66182816 SBD</t>
  </si>
  <si>
    <t>1 ZAR = 0.15185256 ANG</t>
  </si>
  <si>
    <t>1 ZAR = 0.68501975 MOP</t>
  </si>
  <si>
    <t>1 ZAR = 0.02524196 KWD</t>
  </si>
  <si>
    <t>1 ZAR = 2.77733910 MUR</t>
  </si>
  <si>
    <t>1 ZAR = 0.56988789 TTD</t>
  </si>
  <si>
    <t>1 ZAR = 2.46730297 TWD</t>
  </si>
  <si>
    <t>1 ZAR = 3,154.04135144 IRR</t>
  </si>
  <si>
    <t>1 ZAR = 4.22255216 MKD</t>
  </si>
  <si>
    <t>1 ZAR = 149.74767442 BIF</t>
  </si>
  <si>
    <t>1 ZAR = 0.82528945 ZMW</t>
  </si>
  <si>
    <t>1 ZAR = 21.27217316 YER</t>
  </si>
  <si>
    <t>1 ZAR = 0.11111673 BND</t>
  </si>
  <si>
    <t>http://www.floatrates.com/zar/usd/</t>
  </si>
  <si>
    <t>http://www.floatrates.com/zar/eur/</t>
  </si>
  <si>
    <t>http://www.floatrates.com/zar/gbp/</t>
  </si>
  <si>
    <t>http://www.floatrates.com/zar/jpy/</t>
  </si>
  <si>
    <t>http://www.floatrates.com/zar/chf/</t>
  </si>
  <si>
    <t>http://www.floatrates.com/zar/cad/</t>
  </si>
  <si>
    <t>http://www.floatrates.com/zar/aud/</t>
  </si>
  <si>
    <t>http://www.floatrates.com/zar/nok/</t>
  </si>
  <si>
    <t>http://www.floatrates.com/zar/vef/</t>
  </si>
  <si>
    <t>http://www.floatrates.com/zar/ngn/</t>
  </si>
  <si>
    <t>http://www.floatrates.com/zar/lbp/</t>
  </si>
  <si>
    <t>http://www.floatrates.com/zar/stn/</t>
  </si>
  <si>
    <t>http://www.floatrates.com/zar/gnf/</t>
  </si>
  <si>
    <t>http://www.floatrates.com/zar/gel/</t>
  </si>
  <si>
    <t>http://www.floatrates.com/zar/scr/</t>
  </si>
  <si>
    <t>http://www.floatrates.com/zar/cop/</t>
  </si>
  <si>
    <t>http://www.floatrates.com/zar/pln/</t>
  </si>
  <si>
    <t>http://www.floatrates.com/zar/dop/</t>
  </si>
  <si>
    <t>http://www.floatrates.com/zar/bdt/</t>
  </si>
  <si>
    <t>http://www.floatrates.com/zar/uyu/</t>
  </si>
  <si>
    <t>http://www.floatrates.com/zar/fjd/</t>
  </si>
  <si>
    <t>http://www.floatrates.com/zar/rwf/</t>
  </si>
  <si>
    <t>http://www.floatrates.com/zar/sll/</t>
  </si>
  <si>
    <t>http://www.floatrates.com/zar/tzs/</t>
  </si>
  <si>
    <t>http://www.floatrates.com/zar/huf/</t>
  </si>
  <si>
    <t>http://www.floatrates.com/zar/sar/</t>
  </si>
  <si>
    <t>http://www.floatrates.com/zar/hrk/</t>
  </si>
  <si>
    <t>http://www.floatrates.com/zar/kgs/</t>
  </si>
  <si>
    <t>http://www.floatrates.com/zar/nio/</t>
  </si>
  <si>
    <t>http://www.floatrates.com/zar/lrd/</t>
  </si>
  <si>
    <t>http://www.floatrates.com/zar/sdg/</t>
  </si>
  <si>
    <t>http://www.floatrates.com/zar/mzn/</t>
  </si>
  <si>
    <t>http://www.floatrates.com/zar/mnt/</t>
  </si>
  <si>
    <t>http://www.floatrates.com/zar/idr/</t>
  </si>
  <si>
    <t>http://www.floatrates.com/zar/lkr/</t>
  </si>
  <si>
    <t>http://www.floatrates.com/zar/mxn/</t>
  </si>
  <si>
    <t>http://www.floatrates.com/zar/tjs/</t>
  </si>
  <si>
    <t>http://www.floatrates.com/zar/pab/</t>
  </si>
  <si>
    <t>http://www.floatrates.com/zar/xcd/</t>
  </si>
  <si>
    <t>http://www.floatrates.com/zar/htg/</t>
  </si>
  <si>
    <t>http://www.floatrates.com/zar/top/</t>
  </si>
  <si>
    <t>http://www.floatrates.com/zar/dzd/</t>
  </si>
  <si>
    <t>http://www.floatrates.com/zar/krw/</t>
  </si>
  <si>
    <t>http://www.floatrates.com/zar/thb/</t>
  </si>
  <si>
    <t>http://www.floatrates.com/zar/xof/</t>
  </si>
  <si>
    <t>http://www.floatrates.com/zar/egp/</t>
  </si>
  <si>
    <t>http://www.floatrates.com/zar/gmd/</t>
  </si>
  <si>
    <t>http://www.floatrates.com/zar/awg/</t>
  </si>
  <si>
    <t>http://www.floatrates.com/zar/mwk/</t>
  </si>
  <si>
    <t>http://www.floatrates.com/zar/gtq/</t>
  </si>
  <si>
    <t>http://www.floatrates.com/zar/bwp/</t>
  </si>
  <si>
    <t>http://www.floatrates.com/zar/myr/</t>
  </si>
  <si>
    <t>http://www.floatrates.com/zar/nzd/</t>
  </si>
  <si>
    <t>http://www.floatrates.com/zar/aed/</t>
  </si>
  <si>
    <t>http://www.floatrates.com/zar/pgk/</t>
  </si>
  <si>
    <t>http://www.floatrates.com/zar/jod/</t>
  </si>
  <si>
    <t>http://www.floatrates.com/zar/mad/</t>
  </si>
  <si>
    <t>http://www.floatrates.com/zar/djf/</t>
  </si>
  <si>
    <t>http://www.floatrates.com/zar/mmk/</t>
  </si>
  <si>
    <t>http://www.floatrates.com/zar/mvr/</t>
  </si>
  <si>
    <t>http://www.floatrates.com/zar/clp/</t>
  </si>
  <si>
    <t>http://www.floatrates.com/zar/pkr/</t>
  </si>
  <si>
    <t>http://www.floatrates.com/zar/brl/</t>
  </si>
  <si>
    <t>http://www.floatrates.com/zar/byn/</t>
  </si>
  <si>
    <t>http://www.floatrates.com/zar/pyg/</t>
  </si>
  <si>
    <t>http://www.floatrates.com/zar/bzd/</t>
  </si>
  <si>
    <t>http://www.floatrates.com/zar/cdf/</t>
  </si>
  <si>
    <t>http://www.floatrates.com/zar/hnl/</t>
  </si>
  <si>
    <t>http://www.floatrates.com/zar/sos/</t>
  </si>
  <si>
    <t>http://www.floatrates.com/zar/dkk/</t>
  </si>
  <si>
    <t>http://www.floatrates.com/zar/rub/</t>
  </si>
  <si>
    <t>http://www.floatrates.com/zar/ron/</t>
  </si>
  <si>
    <t>http://www.floatrates.com/zar/amd/</t>
  </si>
  <si>
    <t>http://www.floatrates.com/zar/crc/</t>
  </si>
  <si>
    <t>http://www.floatrates.com/zar/jmd/</t>
  </si>
  <si>
    <t>http://www.floatrates.com/zar/ssp/</t>
  </si>
  <si>
    <t>http://www.floatrates.com/zar/lsl/</t>
  </si>
  <si>
    <t>http://www.floatrates.com/zar/wst/</t>
  </si>
  <si>
    <t>http://www.floatrates.com/zar/inr/</t>
  </si>
  <si>
    <t>http://www.floatrates.com/zar/hkd/</t>
  </si>
  <si>
    <t>http://www.floatrates.com/zar/tmt/</t>
  </si>
  <si>
    <t>http://www.floatrates.com/zar/mga/</t>
  </si>
  <si>
    <t>http://www.floatrates.com/zar/srd/</t>
  </si>
  <si>
    <t>http://www.floatrates.com/zar/ghs/</t>
  </si>
  <si>
    <t>http://www.floatrates.com/zar/mru/</t>
  </si>
  <si>
    <t>http://www.floatrates.com/zar/bam/</t>
  </si>
  <si>
    <t>http://www.floatrates.com/zar/kzt/</t>
  </si>
  <si>
    <t>http://www.floatrates.com/zar/xaf/</t>
  </si>
  <si>
    <t>http://www.floatrates.com/zar/uah/</t>
  </si>
  <si>
    <t>http://www.floatrates.com/zar/svc/</t>
  </si>
  <si>
    <t>http://www.floatrates.com/zar/cve/</t>
  </si>
  <si>
    <t>http://www.floatrates.com/zar/lak/</t>
  </si>
  <si>
    <t>http://www.floatrates.com/zar/cup/</t>
  </si>
  <si>
    <t>http://www.floatrates.com/zar/bhd/</t>
  </si>
  <si>
    <t>http://www.floatrates.com/zar/lyd/</t>
  </si>
  <si>
    <t>http://www.floatrates.com/zar/npr/</t>
  </si>
  <si>
    <t>http://www.floatrates.com/zar/tnd/</t>
  </si>
  <si>
    <t>http://www.floatrates.com/zar/vnd/</t>
  </si>
  <si>
    <t>http://www.floatrates.com/zar/rsd/</t>
  </si>
  <si>
    <t>http://www.floatrates.com/zar/iqd/</t>
  </si>
  <si>
    <t>http://www.floatrates.com/zar/xpf/</t>
  </si>
  <si>
    <t>http://www.floatrates.com/zar/aoa/</t>
  </si>
  <si>
    <t>http://www.floatrates.com/zar/khr/</t>
  </si>
  <si>
    <t>http://www.floatrates.com/zar/omr/</t>
  </si>
  <si>
    <t>http://www.floatrates.com/zar/bbd/</t>
  </si>
  <si>
    <t>http://www.floatrates.com/zar/pen/</t>
  </si>
  <si>
    <t>http://www.floatrates.com/zar/ars/</t>
  </si>
  <si>
    <t>http://www.floatrates.com/zar/bsd/</t>
  </si>
  <si>
    <t>http://www.floatrates.com/zar/kmf/</t>
  </si>
  <si>
    <t>http://www.floatrates.com/zar/all/</t>
  </si>
  <si>
    <t>http://www.floatrates.com/zar/kes/</t>
  </si>
  <si>
    <t>http://www.floatrates.com/zar/czk/</t>
  </si>
  <si>
    <t>http://www.floatrates.com/zar/qar/</t>
  </si>
  <si>
    <t>http://www.floatrates.com/zar/bgn/</t>
  </si>
  <si>
    <t>http://www.floatrates.com/zar/azn/</t>
  </si>
  <si>
    <t>http://www.floatrates.com/zar/bob/</t>
  </si>
  <si>
    <t>http://www.floatrates.com/zar/gyd/</t>
  </si>
  <si>
    <t>http://www.floatrates.com/zar/gip/</t>
  </si>
  <si>
    <t>http://www.floatrates.com/zar/szl/</t>
  </si>
  <si>
    <t>http://www.floatrates.com/zar/ugx/</t>
  </si>
  <si>
    <t>http://www.floatrates.com/zar/cny/</t>
  </si>
  <si>
    <t>http://www.floatrates.com/zar/isk/</t>
  </si>
  <si>
    <t>http://www.floatrates.com/zar/sgd/</t>
  </si>
  <si>
    <t>http://www.floatrates.com/zar/try/</t>
  </si>
  <si>
    <t>http://www.floatrates.com/zar/mdl/</t>
  </si>
  <si>
    <t>http://www.floatrates.com/zar/afn/</t>
  </si>
  <si>
    <t>http://www.floatrates.com/zar/nad/</t>
  </si>
  <si>
    <t>http://www.floatrates.com/zar/syp/</t>
  </si>
  <si>
    <t>http://www.floatrates.com/zar/ern/</t>
  </si>
  <si>
    <t>http://www.floatrates.com/zar/vuv/</t>
  </si>
  <si>
    <t>http://www.floatrates.com/zar/ils/</t>
  </si>
  <si>
    <t>http://www.floatrates.com/zar/sek/</t>
  </si>
  <si>
    <t>http://www.floatrates.com/zar/php/</t>
  </si>
  <si>
    <t>http://www.floatrates.com/zar/uzs/</t>
  </si>
  <si>
    <t>http://www.floatrates.com/zar/etb/</t>
  </si>
  <si>
    <t>http://www.floatrates.com/zar/sbd/</t>
  </si>
  <si>
    <t>http://www.floatrates.com/zar/ang/</t>
  </si>
  <si>
    <t>http://www.floatrates.com/zar/mop/</t>
  </si>
  <si>
    <t>http://www.floatrates.com/zar/kwd/</t>
  </si>
  <si>
    <t>http://www.floatrates.com/zar/mur/</t>
  </si>
  <si>
    <t>http://www.floatrates.com/zar/ttd/</t>
  </si>
  <si>
    <t>http://www.floatrates.com/zar/twd/</t>
  </si>
  <si>
    <t>http://www.floatrates.com/zar/irr/</t>
  </si>
  <si>
    <t>http://www.floatrates.com/zar/mkd/</t>
  </si>
  <si>
    <t>http://www.floatrates.com/zar/bif/</t>
  </si>
  <si>
    <t>http://www.floatrates.com/zar/zmw/</t>
  </si>
  <si>
    <t>http://www.floatrates.com/zar/yer/</t>
  </si>
  <si>
    <t>http://www.floatrates.com/zar/bnd/</t>
  </si>
  <si>
    <t>1 South African Rand = 0.08419248 U.S. Dollar</t>
  </si>
  <si>
    <t>1 South African Rand = 0.06826863 Euro</t>
  </si>
  <si>
    <t>1 South African Rand = 0.06082814 U.K. Pound Sterling</t>
  </si>
  <si>
    <t>1 South African Rand = 8.96717022 Japanese Yen</t>
  </si>
  <si>
    <t>1 South African Rand = 0.07983354 Swiss Franc</t>
  </si>
  <si>
    <t>1 South African Rand = 0.10843253 Canadian Dollar</t>
  </si>
  <si>
    <t>1 South African Rand = 0.10788059 Australian Dollar</t>
  </si>
  <si>
    <t>1 South African Rand = 0.65642995 Norwegian Krone</t>
  </si>
  <si>
    <t>1 South African Rand = 3,076.03916274 Venezuelan Bolivar</t>
  </si>
  <si>
    <t>1 South African Rand = 25.86791655 Nigerian Naira</t>
  </si>
  <si>
    <t>1 South African Rand = 128.21434789 Lebanese Pound</t>
  </si>
  <si>
    <t>1 South African Rand = 1.73216267 São Tomé and Príncipe Dobra</t>
  </si>
  <si>
    <t>1 South African Rand = 768.35771983 Guinean franc</t>
  </si>
  <si>
    <t>1 South African Rand = 0.20825117 Georgian lari</t>
  </si>
  <si>
    <t>1 South African Rand = 1.14442767 Seychelles rupee</t>
  </si>
  <si>
    <t>1 South African Rand = 241.81949956 Colombian Peso</t>
  </si>
  <si>
    <t>1 South African Rand = 0.28657888 Polish Zloty</t>
  </si>
  <si>
    <t>1 South African Rand = 4.17001778 Dominican Peso</t>
  </si>
  <si>
    <t>1 South African Rand = 7.02287119 Bangladeshi taka</t>
  </si>
  <si>
    <t>1 South African Rand = 2.40146608 Uruguayan Peso</t>
  </si>
  <si>
    <t>1 South African Rand = 0.17137750 Fiji Dollar</t>
  </si>
  <si>
    <t>1 South African Rand = 73.51388775 Rwandan franc</t>
  </si>
  <si>
    <t>1 South African Rand = 662.13315027 Sierra Leonean leone</t>
  </si>
  <si>
    <t>1 South African Rand = 191.70499481 Tanzanian shilling</t>
  </si>
  <si>
    <t>1 South African Rand = 21.28275573 Hungarian Forint</t>
  </si>
  <si>
    <t>1 South African Rand = 0.31587610 Saudi Riyal</t>
  </si>
  <si>
    <t>1 South African Rand = 0.50693978 Croatian Kuna</t>
  </si>
  <si>
    <t>1 South African Rand = 5.75123464 Kyrgyzstan Som</t>
  </si>
  <si>
    <t>1 South African Rand = 2.63123814 Nicaraguan Córdoba</t>
  </si>
  <si>
    <t>1 South African Rand = 11.22522606 Liberian dollar</t>
  </si>
  <si>
    <t>1 South African Rand = 1.53918472 Sudanese pound</t>
  </si>
  <si>
    <t>1 South African Rand = 5.30195179 Mozambican metical</t>
  </si>
  <si>
    <t>1 South African Rand = 203.51684647 Mongolian togrog</t>
  </si>
  <si>
    <t>1 South African Rand = 1,161.19355438 Indonesian Rupiah</t>
  </si>
  <si>
    <t>1 South African Rand = 13.10503918 Sri Lanka Rupee</t>
  </si>
  <si>
    <t>1 South African Rand = 1.57231305 Mexican Peso</t>
  </si>
  <si>
    <t>1 South African Rand = 0.74704130 Tajikistan Ruble</t>
  </si>
  <si>
    <t>1 South African Rand = 0.08516056 Panamanian Balboa</t>
  </si>
  <si>
    <t>1 South African Rand = 0.23066767 East Caribbean Dollar</t>
  </si>
  <si>
    <t>1 South African Rand = 5.46322789 Haitian gourde</t>
  </si>
  <si>
    <t>1 South African Rand = 0.18267484 Tongan paʻanga</t>
  </si>
  <si>
    <t>1 South African Rand = 9.62621110 Algerian Dinar</t>
  </si>
  <si>
    <t>1 South African Rand = 89.96606960 South Korean Won</t>
  </si>
  <si>
    <t>1 South African Rand = 2.63906817 Thai Baht</t>
  </si>
  <si>
    <t>1 South African Rand = 44.98430207 West African CFA Franc</t>
  </si>
  <si>
    <t>1 South African Rand = 1.48043664 Egyptian Pound</t>
  </si>
  <si>
    <t>1 South African Rand = 4.06457973 Gambian dalasi</t>
  </si>
  <si>
    <t>1 South African Rand = 0.15183651 Aruban florin</t>
  </si>
  <si>
    <t>1 South African Rand = 61.73271476 Malawian kwacha</t>
  </si>
  <si>
    <t>1 South African Rand = 0.62784747 Guatemalan Quetzal</t>
  </si>
  <si>
    <t>1 South African Rand = 0.80773292 Botswana Pula</t>
  </si>
  <si>
    <t>1 South African Rand = 0.32949720 Malaysian Ringgit</t>
  </si>
  <si>
    <t>1 South African Rand = 0.11582993 New Zealand Dollar</t>
  </si>
  <si>
    <t>1 South African Rand = 0.30934947 U.A.E Dirham</t>
  </si>
  <si>
    <t>1 South African Rand = 0.27318543 Papua New Guinean kina</t>
  </si>
  <si>
    <t>1 South African Rand = 0.06005324 Jordanian Dinar</t>
  </si>
  <si>
    <t>1 South African Rand = 0.77940273 Moroccan Dirham</t>
  </si>
  <si>
    <t>1 South African Rand = 15.05242194 Djiboutian franc</t>
  </si>
  <si>
    <t>1 South African Rand = 112.60414860 Myanma Kyat</t>
  </si>
  <si>
    <t>1 South African Rand = 1.31517523 Maldivian rufiyaa</t>
  </si>
  <si>
    <t>1 South African Rand = 50.94532244 Chilean Peso</t>
  </si>
  <si>
    <t>1 South African Rand = 9.32056192 Pakistani Rupee</t>
  </si>
  <si>
    <t>1 South African Rand = 0.27413378 Brazilian Real</t>
  </si>
  <si>
    <t>1 South African Rand = 0.16502526 Belarussian Ruble</t>
  </si>
  <si>
    <t>1 South African Rand = 469.98775946 Paraguayan Guaraní</t>
  </si>
  <si>
    <t>1 South African Rand = 0.17099000 Belize dollar</t>
  </si>
  <si>
    <t>1 South African Rand = 137.95765109 Congolese franc</t>
  </si>
  <si>
    <t>1 South African Rand = 2.01236546 Honduran Lempira</t>
  </si>
  <si>
    <t>1 South African Rand = 49.21489762 Somali shilling</t>
  </si>
  <si>
    <t>1 South African Rand = 0.50874034 Danish Krone</t>
  </si>
  <si>
    <t>1 South African Rand = 4.78703993 Russian Rouble</t>
  </si>
  <si>
    <t>1 South African Rand = 0.31767208 Romanian New Leu</t>
  </si>
  <si>
    <t>1 South African Rand = 40.75157398 Armenia Dram</t>
  </si>
  <si>
    <t>1 South African Rand = 48.20580121 Costa Rican Colón</t>
  </si>
  <si>
    <t>1 South African Rand = 10.84399197 Jamaican Dollar</t>
  </si>
  <si>
    <t>1 South African Rand = 11.20858831 South Sudanese pound</t>
  </si>
  <si>
    <t>1 South African Rand = 1.00830101 Lesotho loti</t>
  </si>
  <si>
    <t>1 South African Rand = 0.21627590 Samoan tala</t>
  </si>
  <si>
    <t>1 South African Rand = 5.47987284 Indian Rupee</t>
  </si>
  <si>
    <t>1 South African Rand = 0.65995559 Hong Kong Dollar</t>
  </si>
  <si>
    <t>1 South African Rand = 0.29569727 New Turkmenistan Manat</t>
  </si>
  <si>
    <t>1 South African Rand = 270.08062708 Malagasy ariary</t>
  </si>
  <si>
    <t>1 South African Rand = 0.63590570 Surinamese dollar</t>
  </si>
  <si>
    <t>1 South African Rand = 0.37871084 Ghanaian Cedi</t>
  </si>
  <si>
    <t>1 South African Rand = 2.99651499 Mauritanian ouguiya</t>
  </si>
  <si>
    <t>1 South African Rand = 0.13407007 Bosnia and Herzegovina convertible mark</t>
  </si>
  <si>
    <t>1 South African Rand = 26.96876297 Kazakhstani Tenge</t>
  </si>
  <si>
    <t>1 South African Rand = 44.98430207 Central African CFA Franc</t>
  </si>
  <si>
    <t>1 South African Rand = 2.20160016 Ukrainian Hryvnia</t>
  </si>
  <si>
    <t>1 South African Rand = 0.74485689 Salvadoran colon</t>
  </si>
  <si>
    <t>1 South African Rand = 7.68357720 Cape Verde escudo</t>
  </si>
  <si>
    <t>1 South African Rand = 704.32790985 Lao kip</t>
  </si>
  <si>
    <t>1 South African Rand = 0.08516056 Cuban peso</t>
  </si>
  <si>
    <t>1 South African Rand = 0.03168370 Bahrain Dinar</t>
  </si>
  <si>
    <t>1 South African Rand = 0.06311757 Libyan Dinar</t>
  </si>
  <si>
    <t>1 South African Rand = 8.78151516 Nepalese Rupee</t>
  </si>
  <si>
    <t>1 South African Rand = 0.20452475 Tunisian Dinar</t>
  </si>
  <si>
    <t>1 South African Rand = 1,924.06363048 Vietnamese Dong</t>
  </si>
  <si>
    <t>1 South African Rand = 8.08278320 Serbian Dinar</t>
  </si>
  <si>
    <t>1 South African Rand = 101.39936034 Iraqi dinar</t>
  </si>
  <si>
    <t>1 South African Rand = 8.18076657 CFP Franc</t>
  </si>
  <si>
    <t>1 South African Rand = 18.18770805 Angolan kwanza</t>
  </si>
  <si>
    <t>1 South African Rand = 342.50987749 Cambodian riel</t>
  </si>
  <si>
    <t>1 South African Rand = 0.03238911 Omani Rial</t>
  </si>
  <si>
    <t>1 South African Rand = 0.16855731 Barbadian Dollar</t>
  </si>
  <si>
    <t>1 South African Rand = 0.27455670 Peruvian Nuevo Sol</t>
  </si>
  <si>
    <t>1 South African Rand = 1.71574023 Argentine Peso</t>
  </si>
  <si>
    <t>1 South African Rand = 0.08516056 Bahamian Dollar</t>
  </si>
  <si>
    <t>1 South African Rand = 33.72442052 	Comoro franc</t>
  </si>
  <si>
    <t>1 South African Rand = 9.04661694 Albanian lek</t>
  </si>
  <si>
    <t>1 South African Rand = 8.61744047 Kenyan shilling</t>
  </si>
  <si>
    <t>1 South African Rand = 1.73734851 Czech Koruna</t>
  </si>
  <si>
    <t>1 South African Rand = 0.30689186 Qatari Rial</t>
  </si>
  <si>
    <t>1 South African Rand = 0.13336833 Bulgarian Lev</t>
  </si>
  <si>
    <t>1 South African Rand = 0.14408612 Azerbaijan Manat</t>
  </si>
  <si>
    <t>1 South African Rand = 0.58375639 Bolivian Boliviano</t>
  </si>
  <si>
    <t>1 South African Rand = 17.62764000 Guyanese dollar</t>
  </si>
  <si>
    <t>1 South African Rand = 0.06141869 Gibraltar pound</t>
  </si>
  <si>
    <t>1 South African Rand = 1.00830101 Swazi lilangeni</t>
  </si>
  <si>
    <t>1 South African Rand = 311.00193422 Ugandan shilling</t>
  </si>
  <si>
    <t>1 South African Rand = 0.53329294 Chinese Yuan</t>
  </si>
  <si>
    <t>1 South African Rand = 8.42194036 Icelandic Krona</t>
  </si>
  <si>
    <t>1 South African Rand = 0.11088595 Singapore Dollar</t>
  </si>
  <si>
    <t>1 South African Rand = 0.32084982 Turkish Lira</t>
  </si>
  <si>
    <t>1 South African Rand = 1.40537933 Moldova Lei</t>
  </si>
  <si>
    <t>1 South African Rand = 5.91056557 Afghan afghani</t>
  </si>
  <si>
    <t>1 South African Rand = 1.00830101 Namibian dollar</t>
  </si>
  <si>
    <t>1 South African Rand = 43.54027079 Syrian pound</t>
  </si>
  <si>
    <t>1 South African Rand = 1.28231052 Eritrean nakfa</t>
  </si>
  <si>
    <t>1 South African Rand = 9.17808327 Vanuatu vatu</t>
  </si>
  <si>
    <t>1 South African Rand = 0.29067804 Israeli New Sheqel</t>
  </si>
  <si>
    <t>1 South African Rand = 0.69482854 Swedish Krona</t>
  </si>
  <si>
    <t>1 South African Rand = 4.39069727 Philippine Peso</t>
  </si>
  <si>
    <t>1 South African Rand = 690.71056516 Uzbekistan Sum</t>
  </si>
  <si>
    <t>1 South African Rand = 2.33251451 Ethiopian birr</t>
  </si>
  <si>
    <t>1 South African Rand = 0.66182816 Solomon Islands dollar</t>
  </si>
  <si>
    <t>1 South African Rand = 0.15185256 Neth. Antillean Guilder</t>
  </si>
  <si>
    <t>1 South African Rand = 0.68501975 Macanese pataca</t>
  </si>
  <si>
    <t>1 South African Rand = 0.02524196 Kuwaiti Dinar</t>
  </si>
  <si>
    <t>1 South African Rand = 2.77733910 Mauritian Rupee</t>
  </si>
  <si>
    <t>1 South African Rand = 0.56988789 Trinidad Tobago Dollar</t>
  </si>
  <si>
    <t>1 South African Rand = 2.46730297 New Taiwan Dollar</t>
  </si>
  <si>
    <t>1 South African Rand = 3,154.04135144 Iranian rial</t>
  </si>
  <si>
    <t>1 South African Rand = 4.22255216 Macedonian denar</t>
  </si>
  <si>
    <t>1 South African Rand = 149.74767442 Burundian franc</t>
  </si>
  <si>
    <t>1 South African Rand = 0.82528945 Zambian kwacha</t>
  </si>
  <si>
    <t>1 South African Rand = 21.27217316 Yemeni rial</t>
  </si>
  <si>
    <t>1 South African Rand = 0.11111673 Brunei Dollar</t>
  </si>
  <si>
    <t>South African Rand</t>
  </si>
  <si>
    <t>STN</t>
  </si>
  <si>
    <t>MRU</t>
  </si>
  <si>
    <t>SVC</t>
  </si>
  <si>
    <t>U.S. Dollar</t>
  </si>
  <si>
    <t>Euro</t>
  </si>
  <si>
    <t>U.K. Pound Sterling</t>
  </si>
  <si>
    <t>Japanese Yen</t>
  </si>
  <si>
    <t>Swiss Franc</t>
  </si>
  <si>
    <t>Canadian Dollar</t>
  </si>
  <si>
    <t>Australian Dollar</t>
  </si>
  <si>
    <t>Norwegian Krone</t>
  </si>
  <si>
    <t>Venezuelan Bolivar</t>
  </si>
  <si>
    <t>Nigerian Naira</t>
  </si>
  <si>
    <t>Lebanese Pound</t>
  </si>
  <si>
    <t>São Tomé and Príncipe Dobra</t>
  </si>
  <si>
    <t>Guinean franc</t>
  </si>
  <si>
    <t>Georgian lari</t>
  </si>
  <si>
    <t>Seychelles rupee</t>
  </si>
  <si>
    <t>Colombian Peso</t>
  </si>
  <si>
    <t>Polish Zloty</t>
  </si>
  <si>
    <t>Dominican Peso</t>
  </si>
  <si>
    <t>Bangladeshi taka</t>
  </si>
  <si>
    <t>Uruguayan Peso</t>
  </si>
  <si>
    <t>Fiji Dollar</t>
  </si>
  <si>
    <t>Rwandan franc</t>
  </si>
  <si>
    <t>Sierra Leonean leone</t>
  </si>
  <si>
    <t>Tanzanian shilling</t>
  </si>
  <si>
    <t>Hungarian Forint</t>
  </si>
  <si>
    <t>Saudi Riyal</t>
  </si>
  <si>
    <t>Croatian Kuna</t>
  </si>
  <si>
    <t>Kyrgyzstan Som</t>
  </si>
  <si>
    <t>Nicaraguan Córdoba</t>
  </si>
  <si>
    <t>Liberian dollar</t>
  </si>
  <si>
    <t>Sudanese pound</t>
  </si>
  <si>
    <t>Mozambican metical</t>
  </si>
  <si>
    <t>Mongolian togrog</t>
  </si>
  <si>
    <t>Indonesian Rupiah</t>
  </si>
  <si>
    <t>Sri Lanka Rupee</t>
  </si>
  <si>
    <t>Mexican Peso</t>
  </si>
  <si>
    <t>Tajikistan Ruble</t>
  </si>
  <si>
    <t>Panamanian Balboa</t>
  </si>
  <si>
    <t>East Caribbean Dollar</t>
  </si>
  <si>
    <t>Haitian gourde</t>
  </si>
  <si>
    <t>Tongan paʻanga</t>
  </si>
  <si>
    <t>Algerian Dinar</t>
  </si>
  <si>
    <t>South Korean Won</t>
  </si>
  <si>
    <t>Thai Baht</t>
  </si>
  <si>
    <t>West African CFA Franc</t>
  </si>
  <si>
    <t>Egyptian Pound</t>
  </si>
  <si>
    <t>Gambian dalasi</t>
  </si>
  <si>
    <t>Aruban florin</t>
  </si>
  <si>
    <t>Malawian kwacha</t>
  </si>
  <si>
    <t>Guatemalan Quetzal</t>
  </si>
  <si>
    <t>Botswana Pula</t>
  </si>
  <si>
    <t>Malaysian Ringgit</t>
  </si>
  <si>
    <t>New Zealand Dollar</t>
  </si>
  <si>
    <t>U.A.E Dirham</t>
  </si>
  <si>
    <t>Papua New Guinean kina</t>
  </si>
  <si>
    <t>Jordanian Dinar</t>
  </si>
  <si>
    <t>Moroccan Dirham</t>
  </si>
  <si>
    <t>Djiboutian franc</t>
  </si>
  <si>
    <t>Myanma Kyat</t>
  </si>
  <si>
    <t>Maldivian rufiyaa</t>
  </si>
  <si>
    <t>Chilean Peso</t>
  </si>
  <si>
    <t>Pakistani Rupee</t>
  </si>
  <si>
    <t>Brazilian Real</t>
  </si>
  <si>
    <t>Belarussian Ruble</t>
  </si>
  <si>
    <t>Paraguayan Guaraní</t>
  </si>
  <si>
    <t>Belize dollar</t>
  </si>
  <si>
    <t>Congolese franc</t>
  </si>
  <si>
    <t>Honduran Lempira</t>
  </si>
  <si>
    <t>Somali shilling</t>
  </si>
  <si>
    <t>Danish Krone</t>
  </si>
  <si>
    <t>Russian Rouble</t>
  </si>
  <si>
    <t>Romanian New Leu</t>
  </si>
  <si>
    <t>Armenia Dram</t>
  </si>
  <si>
    <t>Costa Rican Colón</t>
  </si>
  <si>
    <t>Jamaican Dollar</t>
  </si>
  <si>
    <t>South Sudanese pound</t>
  </si>
  <si>
    <t>Lesotho loti</t>
  </si>
  <si>
    <t>Samoan tala</t>
  </si>
  <si>
    <t>Indian Rupee</t>
  </si>
  <si>
    <t>Hong Kong Dollar</t>
  </si>
  <si>
    <t>New Turkmenistan Manat</t>
  </si>
  <si>
    <t>Malagasy ariary</t>
  </si>
  <si>
    <t>Surinamese dollar</t>
  </si>
  <si>
    <t>Ghanaian Cedi</t>
  </si>
  <si>
    <t>Mauritanian ouguiya</t>
  </si>
  <si>
    <t>Bosnia and Herzegovina convertible mark</t>
  </si>
  <si>
    <t>Kazakhstani Tenge</t>
  </si>
  <si>
    <t>Central African CFA Franc</t>
  </si>
  <si>
    <t>Ukrainian Hryvnia</t>
  </si>
  <si>
    <t>Salvadoran colon</t>
  </si>
  <si>
    <t>Cape Verde escudo</t>
  </si>
  <si>
    <t>Lao kip</t>
  </si>
  <si>
    <t>Cuban peso</t>
  </si>
  <si>
    <t>Bahrain Dinar</t>
  </si>
  <si>
    <t>Libyan Dinar</t>
  </si>
  <si>
    <t>Nepalese Rupee</t>
  </si>
  <si>
    <t>Tunisian Dinar</t>
  </si>
  <si>
    <t>Vietnamese Dong</t>
  </si>
  <si>
    <t>Serbian Dinar</t>
  </si>
  <si>
    <t>Iraqi dinar</t>
  </si>
  <si>
    <t>CFP Franc</t>
  </si>
  <si>
    <t>Angolan kwanza</t>
  </si>
  <si>
    <t>Cambodian riel</t>
  </si>
  <si>
    <t>Omani Rial</t>
  </si>
  <si>
    <t>Barbadian Dollar</t>
  </si>
  <si>
    <t>Peruvian Nuevo Sol</t>
  </si>
  <si>
    <t>Argentine Peso</t>
  </si>
  <si>
    <t>Bahamian Dollar</t>
  </si>
  <si>
    <t>Comoro franc</t>
  </si>
  <si>
    <t>Albanian lek</t>
  </si>
  <si>
    <t>Kenyan shilling</t>
  </si>
  <si>
    <t>Czech Koruna</t>
  </si>
  <si>
    <t>Qatari Rial</t>
  </si>
  <si>
    <t>Bulgarian Lev</t>
  </si>
  <si>
    <t>Azerbaijan Manat</t>
  </si>
  <si>
    <t>Bolivian Boliviano</t>
  </si>
  <si>
    <t>Guyanese dollar</t>
  </si>
  <si>
    <t>Gibraltar pound</t>
  </si>
  <si>
    <t>Swazi lilangeni</t>
  </si>
  <si>
    <t>Ugandan shilling</t>
  </si>
  <si>
    <t>Chinese Yuan</t>
  </si>
  <si>
    <t>Icelandic Krona</t>
  </si>
  <si>
    <t>Singapore Dollar</t>
  </si>
  <si>
    <t>Turkish Lira</t>
  </si>
  <si>
    <t>Moldova Lei</t>
  </si>
  <si>
    <t>Afghan afghani</t>
  </si>
  <si>
    <t>Namibian dollar</t>
  </si>
  <si>
    <t>Syrian pound</t>
  </si>
  <si>
    <t>Eritrean nakfa</t>
  </si>
  <si>
    <t>Vanuatu vatu</t>
  </si>
  <si>
    <t>Israeli New Sheqel</t>
  </si>
  <si>
    <t>Swedish Krona</t>
  </si>
  <si>
    <t>Philippine Peso</t>
  </si>
  <si>
    <t>Uzbekistan Sum</t>
  </si>
  <si>
    <t>Ethiopian birr</t>
  </si>
  <si>
    <t>Solomon Islands dollar</t>
  </si>
  <si>
    <t>Neth. Antillean Guilder</t>
  </si>
  <si>
    <t>Macanese pataca</t>
  </si>
  <si>
    <t>Kuwaiti Dinar</t>
  </si>
  <si>
    <t>Mauritian Rupee</t>
  </si>
  <si>
    <t>Trinidad Tobago Dollar</t>
  </si>
  <si>
    <t>New Taiwan Dollar</t>
  </si>
  <si>
    <t>Iranian rial</t>
  </si>
  <si>
    <t>Macedonian denar</t>
  </si>
  <si>
    <t>Burundian franc</t>
  </si>
  <si>
    <t>Zambian kwacha</t>
  </si>
  <si>
    <t>Yemeni rial</t>
  </si>
  <si>
    <t>Brunei Dollar</t>
  </si>
  <si>
    <t>0.08419248</t>
  </si>
  <si>
    <t>0.06826863</t>
  </si>
  <si>
    <t>0.06082814</t>
  </si>
  <si>
    <t>8.96717022</t>
  </si>
  <si>
    <t>0.07983354</t>
  </si>
  <si>
    <t>0.10843253</t>
  </si>
  <si>
    <t>0.10788059</t>
  </si>
  <si>
    <t>0.65642995</t>
  </si>
  <si>
    <t>3,076.03916274</t>
  </si>
  <si>
    <t>25.86791655</t>
  </si>
  <si>
    <t>128.21434789</t>
  </si>
  <si>
    <t>1.73216267</t>
  </si>
  <si>
    <t>768.35771983</t>
  </si>
  <si>
    <t>0.20825117</t>
  </si>
  <si>
    <t>1.14442767</t>
  </si>
  <si>
    <t>241.81949956</t>
  </si>
  <si>
    <t>0.28657888</t>
  </si>
  <si>
    <t>4.17001778</t>
  </si>
  <si>
    <t>7.02287119</t>
  </si>
  <si>
    <t>2.40146608</t>
  </si>
  <si>
    <t>0.17137750</t>
  </si>
  <si>
    <t>73.51388775</t>
  </si>
  <si>
    <t>662.13315027</t>
  </si>
  <si>
    <t>191.70499481</t>
  </si>
  <si>
    <t>21.28275573</t>
  </si>
  <si>
    <t>0.31587610</t>
  </si>
  <si>
    <t>0.50693978</t>
  </si>
  <si>
    <t>5.75123464</t>
  </si>
  <si>
    <t>2.63123814</t>
  </si>
  <si>
    <t>11.22522606</t>
  </si>
  <si>
    <t>1.53918472</t>
  </si>
  <si>
    <t>5.30195179</t>
  </si>
  <si>
    <t>203.51684647</t>
  </si>
  <si>
    <t>1,161.19355438</t>
  </si>
  <si>
    <t>13.10503918</t>
  </si>
  <si>
    <t>1.57231305</t>
  </si>
  <si>
    <t>0.74704130</t>
  </si>
  <si>
    <t>0.08516056</t>
  </si>
  <si>
    <t>0.23066767</t>
  </si>
  <si>
    <t>5.46322789</t>
  </si>
  <si>
    <t>0.18267484</t>
  </si>
  <si>
    <t>9.62621110</t>
  </si>
  <si>
    <t>89.96606960</t>
  </si>
  <si>
    <t>2.63906817</t>
  </si>
  <si>
    <t>44.98430207</t>
  </si>
  <si>
    <t>1.48043664</t>
  </si>
  <si>
    <t>4.06457973</t>
  </si>
  <si>
    <t>0.15183651</t>
  </si>
  <si>
    <t>61.73271476</t>
  </si>
  <si>
    <t>0.62784747</t>
  </si>
  <si>
    <t>0.80773292</t>
  </si>
  <si>
    <t>0.32949720</t>
  </si>
  <si>
    <t>0.11582993</t>
  </si>
  <si>
    <t>0.30934947</t>
  </si>
  <si>
    <t>0.27318543</t>
  </si>
  <si>
    <t>0.06005324</t>
  </si>
  <si>
    <t>0.77940273</t>
  </si>
  <si>
    <t>15.05242194</t>
  </si>
  <si>
    <t>112.60414860</t>
  </si>
  <si>
    <t>1.31517523</t>
  </si>
  <si>
    <t>50.94532244</t>
  </si>
  <si>
    <t>9.32056192</t>
  </si>
  <si>
    <t>0.27413378</t>
  </si>
  <si>
    <t>0.16502526</t>
  </si>
  <si>
    <t>469.98775946</t>
  </si>
  <si>
    <t>0.17099000</t>
  </si>
  <si>
    <t>137.95765109</t>
  </si>
  <si>
    <t>2.01236546</t>
  </si>
  <si>
    <t>49.21489762</t>
  </si>
  <si>
    <t>0.50874034</t>
  </si>
  <si>
    <t>4.78703993</t>
  </si>
  <si>
    <t>0.31767208</t>
  </si>
  <si>
    <t>40.75157398</t>
  </si>
  <si>
    <t>48.20580121</t>
  </si>
  <si>
    <t>10.84399197</t>
  </si>
  <si>
    <t>11.20858831</t>
  </si>
  <si>
    <t>1.00830101</t>
  </si>
  <si>
    <t>0.21627590</t>
  </si>
  <si>
    <t>5.47987284</t>
  </si>
  <si>
    <t>0.65995559</t>
  </si>
  <si>
    <t>0.29569727</t>
  </si>
  <si>
    <t>270.08062708</t>
  </si>
  <si>
    <t>0.63590570</t>
  </si>
  <si>
    <t>0.37871084</t>
  </si>
  <si>
    <t>2.99651499</t>
  </si>
  <si>
    <t>0.13407007</t>
  </si>
  <si>
    <t>26.96876297</t>
  </si>
  <si>
    <t>2.20160016</t>
  </si>
  <si>
    <t>0.74485689</t>
  </si>
  <si>
    <t>7.68357720</t>
  </si>
  <si>
    <t>704.32790985</t>
  </si>
  <si>
    <t>0.03168370</t>
  </si>
  <si>
    <t>0.06311757</t>
  </si>
  <si>
    <t>8.78151516</t>
  </si>
  <si>
    <t>0.20452475</t>
  </si>
  <si>
    <t>1,924.06363048</t>
  </si>
  <si>
    <t>8.08278320</t>
  </si>
  <si>
    <t>101.39936034</t>
  </si>
  <si>
    <t>8.18076657</t>
  </si>
  <si>
    <t>18.18770805</t>
  </si>
  <si>
    <t>342.50987749</t>
  </si>
  <si>
    <t>0.03238911</t>
  </si>
  <si>
    <t>0.16855731</t>
  </si>
  <si>
    <t>0.27455670</t>
  </si>
  <si>
    <t>1.71574023</t>
  </si>
  <si>
    <t>33.72442052</t>
  </si>
  <si>
    <t>9.04661694</t>
  </si>
  <si>
    <t>8.61744047</t>
  </si>
  <si>
    <t>1.73734851</t>
  </si>
  <si>
    <t>0.30689186</t>
  </si>
  <si>
    <t>0.13336833</t>
  </si>
  <si>
    <t>0.14408612</t>
  </si>
  <si>
    <t>0.58375639</t>
  </si>
  <si>
    <t>17.62764000</t>
  </si>
  <si>
    <t>0.06141869</t>
  </si>
  <si>
    <t>311.00193422</t>
  </si>
  <si>
    <t>0.53329294</t>
  </si>
  <si>
    <t>8.42194036</t>
  </si>
  <si>
    <t>0.11088595</t>
  </si>
  <si>
    <t>0.32084982</t>
  </si>
  <si>
    <t>1.40537933</t>
  </si>
  <si>
    <t>5.91056557</t>
  </si>
  <si>
    <t>43.54027079</t>
  </si>
  <si>
    <t>1.28231052</t>
  </si>
  <si>
    <t>9.17808327</t>
  </si>
  <si>
    <t>0.29067804</t>
  </si>
  <si>
    <t>0.69482854</t>
  </si>
  <si>
    <t>4.39069727</t>
  </si>
  <si>
    <t>690.71056516</t>
  </si>
  <si>
    <t>2.33251451</t>
  </si>
  <si>
    <t>0.66182816</t>
  </si>
  <si>
    <t>0.15185256</t>
  </si>
  <si>
    <t>0.68501975</t>
  </si>
  <si>
    <t>0.02524196</t>
  </si>
  <si>
    <t>2.77733910</t>
  </si>
  <si>
    <t>0.56988789</t>
  </si>
  <si>
    <t>2.46730297</t>
  </si>
  <si>
    <t>3,154.04135144</t>
  </si>
  <si>
    <t>4.22255216</t>
  </si>
  <si>
    <t>149.74767442</t>
  </si>
  <si>
    <t>0.82528945</t>
  </si>
  <si>
    <t>21.27217316</t>
  </si>
  <si>
    <t>0.11111673</t>
  </si>
  <si>
    <t>Loading Date</t>
  </si>
  <si>
    <t>Loading Point</t>
  </si>
  <si>
    <t>Despatch Date</t>
  </si>
  <si>
    <t>Offloading Point</t>
  </si>
  <si>
    <t>Horse</t>
  </si>
  <si>
    <t>Trailer 1</t>
  </si>
  <si>
    <t>Trailer 2</t>
  </si>
  <si>
    <t>NORTH BOUND</t>
  </si>
  <si>
    <t>SOUTH BOUND</t>
  </si>
  <si>
    <t>Client</t>
  </si>
  <si>
    <t>Trailer 3</t>
  </si>
  <si>
    <t>Trailer 4</t>
  </si>
  <si>
    <t>Trailer 5</t>
  </si>
  <si>
    <t>Trailer 6</t>
  </si>
  <si>
    <t>Trailer 7</t>
  </si>
  <si>
    <t>Trailer 8</t>
  </si>
  <si>
    <t>Trailer 9</t>
  </si>
  <si>
    <t>Trailer 10</t>
  </si>
  <si>
    <t>Trailer 11</t>
  </si>
  <si>
    <t>Trailer 12</t>
  </si>
  <si>
    <t>Trailer 13</t>
  </si>
  <si>
    <t>Trailer 14</t>
  </si>
  <si>
    <t>Trailer 15</t>
  </si>
  <si>
    <t>Trailer 16</t>
  </si>
  <si>
    <t>Trailer 17</t>
  </si>
  <si>
    <t>Trailer 18</t>
  </si>
  <si>
    <t>ADDITIONAL COSTS</t>
  </si>
  <si>
    <t>Sub Total</t>
  </si>
  <si>
    <t>POINT</t>
  </si>
  <si>
    <t>Country:</t>
  </si>
  <si>
    <t>Currency:</t>
  </si>
  <si>
    <t>Inventory</t>
  </si>
  <si>
    <t>Cash Handled</t>
  </si>
  <si>
    <t>Dispatched By</t>
  </si>
  <si>
    <t>Driver Signature</t>
  </si>
  <si>
    <t>Northbound</t>
  </si>
  <si>
    <t>Quantity</t>
  </si>
  <si>
    <t>Price</t>
  </si>
  <si>
    <t>Price Currency</t>
  </si>
  <si>
    <t>Billed Currency</t>
  </si>
  <si>
    <t>Currency ISO</t>
  </si>
  <si>
    <t>Country</t>
  </si>
  <si>
    <t>Currency</t>
  </si>
  <si>
    <t> Angola</t>
  </si>
  <si>
    <t>Kwanza</t>
  </si>
  <si>
    <t> Burundi</t>
  </si>
  <si>
    <t>Burundi franc</t>
  </si>
  <si>
    <t> Botswana</t>
  </si>
  <si>
    <t>Pula</t>
  </si>
  <si>
    <t> Democratic Republic of the Congo</t>
  </si>
  <si>
    <t> Cape Verde</t>
  </si>
  <si>
    <t>Cape Verdean Escudo</t>
  </si>
  <si>
    <t> Djibouti</t>
  </si>
  <si>
    <t> Algeria</t>
  </si>
  <si>
    <t>Algerian dinar</t>
  </si>
  <si>
    <t> Egypt</t>
  </si>
  <si>
    <t>Egyptian pound</t>
  </si>
  <si>
    <t> Eritrea</t>
  </si>
  <si>
    <t>Nakfa</t>
  </si>
  <si>
    <t> Ethiopia</t>
  </si>
  <si>
    <t> Ghana</t>
  </si>
  <si>
    <t>Ghanaian cedi</t>
  </si>
  <si>
    <t> Gambia</t>
  </si>
  <si>
    <t>Dalasi</t>
  </si>
  <si>
    <t> Guinea</t>
  </si>
  <si>
    <t> Kenya</t>
  </si>
  <si>
    <t> Comoros</t>
  </si>
  <si>
    <t>Comorian franc</t>
  </si>
  <si>
    <t> Liberia</t>
  </si>
  <si>
    <t> Lesotho</t>
  </si>
  <si>
    <t>Loti</t>
  </si>
  <si>
    <t> Libya</t>
  </si>
  <si>
    <t>Libyan dinar</t>
  </si>
  <si>
    <t> Morocco</t>
  </si>
  <si>
    <t>Moroccan dirham</t>
  </si>
  <si>
    <t> Madagascar</t>
  </si>
  <si>
    <t> Mauritania</t>
  </si>
  <si>
    <t>Ouguiya</t>
  </si>
  <si>
    <t> Mauritius</t>
  </si>
  <si>
    <t>Mauritian rupee</t>
  </si>
  <si>
    <t> Malawi</t>
  </si>
  <si>
    <t> Mozambique</t>
  </si>
  <si>
    <t> Namibia</t>
  </si>
  <si>
    <t> Nigeria</t>
  </si>
  <si>
    <t>Nigerian naira</t>
  </si>
  <si>
    <t> Rwanda</t>
  </si>
  <si>
    <t> Seychelles</t>
  </si>
  <si>
    <t>Seychellois rupee</t>
  </si>
  <si>
    <t> Sudan</t>
  </si>
  <si>
    <t> Sierra Leone</t>
  </si>
  <si>
    <t> Somalia</t>
  </si>
  <si>
    <t> South Sudan</t>
  </si>
  <si>
    <t> Sao Tome and Principe</t>
  </si>
  <si>
    <t>Dobra</t>
  </si>
  <si>
    <t> Swaziland</t>
  </si>
  <si>
    <t>Lilangeni</t>
  </si>
  <si>
    <t> Tunisia</t>
  </si>
  <si>
    <t>Tunisian dinar</t>
  </si>
  <si>
    <t> Tanzania</t>
  </si>
  <si>
    <t> Uganda</t>
  </si>
  <si>
    <t> Cameroon</t>
  </si>
  <si>
    <t>CFA franc</t>
  </si>
  <si>
    <t> Central African Republic</t>
  </si>
  <si>
    <t> Chad</t>
  </si>
  <si>
    <t> Republic of the Congo</t>
  </si>
  <si>
    <t> Equatorial Guinea</t>
  </si>
  <si>
    <t> Gabon</t>
  </si>
  <si>
    <t> Benin</t>
  </si>
  <si>
    <t> Burkina Faso</t>
  </si>
  <si>
    <t> Guinea-Bissau</t>
  </si>
  <si>
    <t> Ivory Coast</t>
  </si>
  <si>
    <t> Mali</t>
  </si>
  <si>
    <t> Niger</t>
  </si>
  <si>
    <t> Senegal</t>
  </si>
  <si>
    <t> Togo</t>
  </si>
  <si>
    <t> South Africa</t>
  </si>
  <si>
    <t>ZBN</t>
  </si>
  <si>
    <t> Zimbabwe</t>
  </si>
  <si>
    <r>
      <t>Zimbabwean Bond Notes</t>
    </r>
    <r>
      <rPr>
        <sz val="7"/>
        <color rgb="FF222222"/>
        <rFont val="Arial"/>
        <family val="2"/>
      </rPr>
      <t> (introduced in 2016) &amp; </t>
    </r>
    <r>
      <rPr>
        <sz val="7"/>
        <color rgb="FF0B0080"/>
        <rFont val="Arial"/>
        <family val="2"/>
      </rPr>
      <t>Zimbabwean Bond Coins</t>
    </r>
    <r>
      <rPr>
        <sz val="7"/>
        <color rgb="FF222222"/>
        <rFont val="Arial"/>
        <family val="2"/>
      </rPr>
      <t> (introduced in 2014) — circulates as part of a multiple currency economic system</t>
    </r>
  </si>
  <si>
    <t> Zambia</t>
  </si>
  <si>
    <t>POINT_START</t>
  </si>
  <si>
    <t>POINT_END</t>
  </si>
  <si>
    <t>CATEGORY_START</t>
  </si>
  <si>
    <t>CATEGORY_END</t>
  </si>
  <si>
    <t>Southbound</t>
  </si>
  <si>
    <t>Categories</t>
  </si>
  <si>
    <t>MOP's</t>
  </si>
  <si>
    <t>Inter-Africa</t>
  </si>
  <si>
    <t>EFT</t>
  </si>
  <si>
    <t>Cash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</si>
</sst>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3" formatCode="_(* #,##0.00_);_(* \(#,##0.00\);_(* &quot;-&quot;??_);_(@_)"/>
    <numFmt numFmtId="164" formatCode="dd\ mmm\ \'yy"/>
    <numFmt numFmtId="165" formatCode="d\ mmm\ yyyy"/>
    <numFmt numFmtId="166" formatCode="_(* ###0_);_(* \(###0\);_(* &quot;&quot;_);_(@_)"/>
    <numFmt numFmtId="167" formatCode="_(d\ mmm\ yy_);_(* \(d\ mmm\ yy\);_(* &quot;&quot;_);_(@_)"/>
    <numFmt numFmtId="168" formatCode="yyyy\-mm\-dd;@"/>
    <numFmt numFmtId="169" formatCode="dd\ mmmm\ yyyy"/>
  </numFmts>
  <fonts count="40" x14ac:knownFonts="1"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1" tint="0.1499984740745262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1"/>
      <name val="Consolas"/>
      <family val="3"/>
    </font>
    <font>
      <sz val="10"/>
      <color theme="1"/>
      <name val="Trebuchet MS"/>
      <family val="2"/>
    </font>
    <font>
      <b/>
      <sz val="10"/>
      <color theme="0"/>
      <name val="Consolas"/>
      <family val="3"/>
    </font>
    <font>
      <b/>
      <sz val="10"/>
      <color theme="0"/>
      <name val="Trebuchet MS"/>
      <family val="2"/>
    </font>
    <font>
      <sz val="8"/>
      <color theme="1"/>
      <name val="Calibri"/>
      <family val="2"/>
      <scheme val="minor"/>
    </font>
    <font>
      <sz val="8"/>
      <color theme="1"/>
      <name val="Consolas"/>
      <family val="3"/>
    </font>
    <font>
      <b/>
      <sz val="8"/>
      <color theme="0"/>
      <name val="Consolas"/>
      <family val="3"/>
    </font>
    <font>
      <b/>
      <sz val="8"/>
      <color theme="0"/>
      <name val="Trebuchet MS"/>
      <family val="2"/>
    </font>
    <font>
      <sz val="8"/>
      <color theme="1"/>
      <name val="Trebuchet MS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0"/>
      <color theme="1" tint="0.24994659260841701"/>
      <name val="Calibri"/>
      <family val="2"/>
      <scheme val="minor"/>
    </font>
    <font>
      <b/>
      <sz val="10"/>
      <color theme="1" tint="0.34998626667073579"/>
      <name val="Calibri"/>
      <family val="2"/>
      <scheme val="minor"/>
    </font>
    <font>
      <b/>
      <sz val="10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Encode Sans Condensed Medium"/>
    </font>
    <font>
      <sz val="8"/>
      <color theme="0"/>
      <name val="Encode Sans Condensed Medium"/>
    </font>
    <font>
      <sz val="8"/>
      <color theme="0"/>
      <name val="Encode Sans Condensed SemiBold"/>
    </font>
    <font>
      <sz val="11"/>
      <color theme="1"/>
      <name val="Encode Sans Condensed"/>
    </font>
    <font>
      <sz val="11"/>
      <color theme="1"/>
      <name val="Arial Black"/>
      <family val="2"/>
    </font>
    <font>
      <sz val="8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0"/>
      <name val="Segoe UI"/>
      <family val="2"/>
    </font>
    <font>
      <sz val="11"/>
      <color theme="1"/>
      <name val="Segoe UI"/>
      <family val="2"/>
    </font>
    <font>
      <sz val="8"/>
      <color theme="1"/>
      <name val="Segoe UI"/>
      <family val="2"/>
    </font>
    <font>
      <b/>
      <sz val="8"/>
      <color theme="1"/>
      <name val="Segoe UI"/>
      <family val="2"/>
    </font>
    <font>
      <b/>
      <sz val="7"/>
      <color rgb="FF222222"/>
      <name val="Arial"/>
      <family val="2"/>
    </font>
    <font>
      <sz val="7"/>
      <color rgb="FF222222"/>
      <name val="Arial"/>
      <family val="2"/>
    </font>
    <font>
      <sz val="7"/>
      <color rgb="FF0B0080"/>
      <name val="Arial"/>
      <family val="2"/>
    </font>
    <font>
      <b/>
      <sz val="8"/>
      <color theme="0"/>
      <name val="Segoe UI"/>
      <family val="2"/>
    </font>
    <font>
      <sz val="11"/>
      <color rgb="FFFF0000"/>
      <name val="Calibri"/>
      <family val="2"/>
      <scheme val="minor"/>
    </font>
    <font>
      <sz val="9"/>
      <color rgb="FFFF0000"/>
      <name val="Calibri"/>
      <family val="2"/>
      <scheme val="minor"/>
    </font>
    <font>
      <sz val="9"/>
      <color rgb="FFFF0000"/>
      <name val="Segoe UI"/>
      <family val="2"/>
    </font>
  </fonts>
  <fills count="14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8F9FA"/>
        <bgColor indexed="64"/>
      </patternFill>
    </fill>
    <fill>
      <patternFill patternType="solid">
        <fgColor rgb="FFEAECF0"/>
        <bgColor indexed="64"/>
      </patternFill>
    </fill>
  </fills>
  <borders count="7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theme="1" tint="0.24994659260841701"/>
      </left>
      <right/>
      <top/>
      <bottom/>
      <diagonal/>
    </border>
    <border>
      <left/>
      <right style="medium">
        <color theme="1" tint="0.24994659260841701"/>
      </right>
      <top/>
      <bottom/>
      <diagonal/>
    </border>
    <border>
      <left style="medium">
        <color theme="1" tint="0.24994659260841701"/>
      </left>
      <right/>
      <top/>
      <bottom style="medium">
        <color theme="1" tint="0.24994659260841701"/>
      </bottom>
      <diagonal/>
    </border>
    <border>
      <left/>
      <right/>
      <top/>
      <bottom style="medium">
        <color theme="1" tint="0.24994659260841701"/>
      </bottom>
      <diagonal/>
    </border>
    <border>
      <left style="medium">
        <color theme="1" tint="0.24994659260841701"/>
      </left>
      <right/>
      <top style="medium">
        <color theme="1" tint="0.24994659260841701"/>
      </top>
      <bottom/>
      <diagonal/>
    </border>
    <border>
      <left/>
      <right/>
      <top style="medium">
        <color theme="1" tint="0.24994659260841701"/>
      </top>
      <bottom/>
      <diagonal/>
    </border>
    <border>
      <left/>
      <right style="medium">
        <color theme="1" tint="0.24994659260841701"/>
      </right>
      <top style="medium">
        <color theme="1" tint="0.24994659260841701"/>
      </top>
      <bottom/>
      <diagonal/>
    </border>
    <border>
      <left style="medium">
        <color theme="1" tint="0.14996795556505021"/>
      </left>
      <right/>
      <top style="medium">
        <color theme="1" tint="0.14996795556505021"/>
      </top>
      <bottom/>
      <diagonal/>
    </border>
    <border>
      <left/>
      <right/>
      <top style="medium">
        <color theme="1" tint="0.14996795556505021"/>
      </top>
      <bottom/>
      <diagonal/>
    </border>
    <border>
      <left style="medium">
        <color theme="1" tint="0.24994659260841701"/>
      </left>
      <right/>
      <top style="medium">
        <color theme="1" tint="0.14996795556505021"/>
      </top>
      <bottom/>
      <diagonal/>
    </border>
    <border>
      <left style="medium">
        <color theme="1" tint="0.24994659260841701"/>
      </left>
      <right style="medium">
        <color theme="1" tint="0.14996795556505021"/>
      </right>
      <top style="medium">
        <color theme="1" tint="0.14996795556505021"/>
      </top>
      <bottom/>
      <diagonal/>
    </border>
    <border>
      <left style="thin">
        <color theme="1" tint="0.24994659260841701"/>
      </left>
      <right style="medium">
        <color theme="1" tint="0.24994659260841701"/>
      </right>
      <top/>
      <bottom style="medium">
        <color theme="1" tint="0.24994659260841701"/>
      </bottom>
      <diagonal/>
    </border>
    <border>
      <left style="thin">
        <color theme="1" tint="0.24994659260841701"/>
      </left>
      <right style="medium">
        <color theme="1" tint="0.2499465926084170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theme="1" tint="0.1499679555650502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medium">
        <color theme="1" tint="0.14996795556505021"/>
      </right>
      <top/>
      <bottom style="thin">
        <color theme="0" tint="-0.24994659260841701"/>
      </bottom>
      <diagonal/>
    </border>
    <border>
      <left style="medium">
        <color theme="1" tint="0.1499679555650502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medium">
        <color theme="1" tint="0.1499679555650502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theme="1" tint="0.14996795556505021"/>
      </left>
      <right/>
      <top style="thin">
        <color theme="0" tint="-0.24994659260841701"/>
      </top>
      <bottom style="medium">
        <color theme="1" tint="0.14996795556505021"/>
      </bottom>
      <diagonal/>
    </border>
    <border>
      <left/>
      <right/>
      <top style="thin">
        <color theme="0" tint="-0.24994659260841701"/>
      </top>
      <bottom style="medium">
        <color theme="1" tint="0.14996795556505021"/>
      </bottom>
      <diagonal/>
    </border>
    <border>
      <left/>
      <right style="medium">
        <color theme="1" tint="0.14996795556505021"/>
      </right>
      <top style="thin">
        <color theme="0" tint="-0.24994659260841701"/>
      </top>
      <bottom style="medium">
        <color theme="1" tint="0.14996795556505021"/>
      </bottom>
      <diagonal/>
    </border>
    <border>
      <left style="medium">
        <color theme="1" tint="0.34998626667073579"/>
      </left>
      <right/>
      <top style="medium">
        <color theme="1" tint="0.34998626667073579"/>
      </top>
      <bottom/>
      <diagonal/>
    </border>
    <border>
      <left/>
      <right/>
      <top style="medium">
        <color theme="1" tint="0.34998626667073579"/>
      </top>
      <bottom/>
      <diagonal/>
    </border>
    <border>
      <left/>
      <right style="medium">
        <color theme="1" tint="0.34998626667073579"/>
      </right>
      <top style="medium">
        <color theme="1" tint="0.34998626667073579"/>
      </top>
      <bottom/>
      <diagonal/>
    </border>
    <border>
      <left style="medium">
        <color theme="1" tint="0.34998626667073579"/>
      </left>
      <right/>
      <top/>
      <bottom/>
      <diagonal/>
    </border>
    <border>
      <left/>
      <right style="medium">
        <color theme="1" tint="0.34998626667073579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theme="1" tint="0.34998626667073579"/>
      </top>
      <bottom style="double">
        <color theme="1" tint="0.34998626667073579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theme="1" tint="0.34998626667073579"/>
      </right>
      <top/>
      <bottom style="thin">
        <color indexed="64"/>
      </bottom>
      <diagonal/>
    </border>
    <border>
      <left style="medium">
        <color theme="1" tint="0.34998626667073579"/>
      </left>
      <right/>
      <top/>
      <bottom style="medium">
        <color theme="1" tint="0.34998626667073579"/>
      </bottom>
      <diagonal/>
    </border>
    <border>
      <left/>
      <right/>
      <top/>
      <bottom style="medium">
        <color theme="1" tint="0.34998626667073579"/>
      </bottom>
      <diagonal/>
    </border>
    <border>
      <left/>
      <right style="medium">
        <color theme="1" tint="0.34998626667073579"/>
      </right>
      <top/>
      <bottom style="medium">
        <color theme="1" tint="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double">
        <color theme="1" tint="0.24994659260841701"/>
      </top>
      <bottom style="thin">
        <color theme="1" tint="0.24994659260841701"/>
      </bottom>
      <diagonal/>
    </border>
    <border>
      <left/>
      <right/>
      <top/>
      <bottom style="double">
        <color theme="1" tint="0.24994659260841701"/>
      </bottom>
      <diagonal/>
    </border>
    <border>
      <left/>
      <right/>
      <top/>
      <bottom style="thin">
        <color theme="1" tint="0.24994659260841701"/>
      </bottom>
      <diagonal/>
    </border>
    <border>
      <left/>
      <right/>
      <top style="double">
        <color theme="1" tint="0.24994659260841701"/>
      </top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/>
      <bottom style="dotted">
        <color theme="0" tint="-0.24994659260841701"/>
      </bottom>
      <diagonal/>
    </border>
    <border>
      <left style="thin">
        <color theme="1" tint="0.24994659260841701"/>
      </left>
      <right/>
      <top style="thin">
        <color theme="1" tint="0.24994659260841701"/>
      </top>
      <bottom/>
      <diagonal/>
    </border>
    <border>
      <left/>
      <right/>
      <top style="thin">
        <color theme="1" tint="0.24994659260841701"/>
      </top>
      <bottom/>
      <diagonal/>
    </border>
    <border>
      <left/>
      <right style="thin">
        <color theme="1" tint="0.24994659260841701"/>
      </right>
      <top style="thin">
        <color theme="1" tint="0.24994659260841701"/>
      </top>
      <bottom/>
      <diagonal/>
    </border>
    <border>
      <left/>
      <right style="thin">
        <color theme="1" tint="0.24994659260841701"/>
      </right>
      <top/>
      <bottom/>
      <diagonal/>
    </border>
    <border>
      <left/>
      <right/>
      <top style="thin">
        <color theme="1" tint="0.34998626667073579"/>
      </top>
      <bottom/>
      <diagonal/>
    </border>
    <border>
      <left/>
      <right/>
      <top style="thin">
        <color theme="1" tint="0.34998626667073579"/>
      </top>
      <bottom style="thin">
        <color theme="0" tint="-0.14993743705557422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 style="thin">
        <color theme="0" tint="-0.14990691854609822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0691854609822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06918546098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0691854609822"/>
      </bottom>
      <diagonal/>
    </border>
    <border>
      <left style="thin">
        <color theme="0" tint="-0.14993743705557422"/>
      </left>
      <right style="thin">
        <color theme="0" tint="-0.14990691854609822"/>
      </right>
      <top style="thin">
        <color theme="0" tint="-0.14993743705557422"/>
      </top>
      <bottom style="thin">
        <color theme="0" tint="-0.14990691854609822"/>
      </bottom>
      <diagonal/>
    </border>
    <border>
      <left/>
      <right style="thin">
        <color theme="0" tint="-0.14993743705557422"/>
      </right>
      <top/>
      <bottom style="double">
        <color theme="1" tint="0.499984740745262"/>
      </bottom>
      <diagonal/>
    </border>
    <border>
      <left style="thin">
        <color theme="0" tint="-0.14993743705557422"/>
      </left>
      <right style="thin">
        <color theme="0" tint="-0.14993743705557422"/>
      </right>
      <top/>
      <bottom style="double">
        <color theme="1" tint="0.499984740745262"/>
      </bottom>
      <diagonal/>
    </border>
    <border>
      <left style="thin">
        <color theme="0" tint="-0.14993743705557422"/>
      </left>
      <right/>
      <top/>
      <bottom style="double">
        <color theme="1" tint="0.499984740745262"/>
      </bottom>
      <diagonal/>
    </border>
    <border>
      <left/>
      <right/>
      <top/>
      <bottom style="double">
        <color theme="1" tint="0.499984740745262"/>
      </bottom>
      <diagonal/>
    </border>
    <border>
      <left style="medium">
        <color rgb="FFA2A9B1"/>
      </left>
      <right style="medium">
        <color rgb="FFA2A9B1"/>
      </right>
      <top style="medium">
        <color rgb="FFA2A9B1"/>
      </top>
      <bottom style="medium">
        <color rgb="FFA2A9B1"/>
      </bottom>
      <diagonal/>
    </border>
    <border>
      <left/>
      <right/>
      <top/>
      <bottom style="thin">
        <color theme="1" tint="0.34998626667073579"/>
      </bottom>
      <diagonal/>
    </border>
    <border>
      <left/>
      <right/>
      <top style="thin">
        <color theme="0" tint="-0.14990691854609822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21" fillId="0" borderId="0" applyNumberFormat="0" applyFill="0" applyBorder="0" applyAlignment="0" applyProtection="0"/>
  </cellStyleXfs>
  <cellXfs count="295">
    <xf numFmtId="0" fontId="0" fillId="0" borderId="0" xfId="0"/>
    <xf numFmtId="0" fontId="2" fillId="0" borderId="0" xfId="0" applyFont="1"/>
    <xf numFmtId="0" fontId="3" fillId="0" borderId="0" xfId="0" applyFont="1"/>
    <xf numFmtId="0" fontId="5" fillId="3" borderId="8" xfId="0" applyFont="1" applyFill="1" applyBorder="1" applyAlignment="1">
      <alignment vertical="center"/>
    </xf>
    <xf numFmtId="0" fontId="5" fillId="3" borderId="0" xfId="0" applyFont="1" applyFill="1" applyBorder="1" applyAlignment="1">
      <alignment vertical="center"/>
    </xf>
    <xf numFmtId="0" fontId="5" fillId="3" borderId="9" xfId="0" applyFont="1" applyFill="1" applyBorder="1" applyAlignment="1">
      <alignment vertical="center"/>
    </xf>
    <xf numFmtId="0" fontId="5" fillId="3" borderId="4" xfId="0" applyFont="1" applyFill="1" applyBorder="1" applyAlignment="1">
      <alignment vertical="center"/>
    </xf>
    <xf numFmtId="0" fontId="5" fillId="3" borderId="5" xfId="0" applyFont="1" applyFill="1" applyBorder="1" applyAlignment="1">
      <alignment vertical="center"/>
    </xf>
    <xf numFmtId="164" fontId="0" fillId="0" borderId="0" xfId="0" applyNumberFormat="1"/>
    <xf numFmtId="0" fontId="0" fillId="0" borderId="0" xfId="0" applyBorder="1" applyProtection="1">
      <protection locked="0"/>
    </xf>
    <xf numFmtId="165" fontId="0" fillId="0" borderId="0" xfId="0" applyNumberFormat="1" applyBorder="1" applyProtection="1">
      <protection locked="0"/>
    </xf>
    <xf numFmtId="0" fontId="0" fillId="0" borderId="4" xfId="0" applyBorder="1" applyProtection="1">
      <protection locked="0"/>
    </xf>
    <xf numFmtId="165" fontId="0" fillId="0" borderId="0" xfId="0" applyNumberFormat="1" applyBorder="1" applyAlignment="1" applyProtection="1">
      <alignment horizontal="right"/>
      <protection locked="0"/>
    </xf>
    <xf numFmtId="0" fontId="3" fillId="0" borderId="4" xfId="0" applyFont="1" applyBorder="1" applyProtection="1">
      <protection locked="0"/>
    </xf>
    <xf numFmtId="0" fontId="0" fillId="0" borderId="6" xfId="0" applyBorder="1" applyProtection="1">
      <protection locked="0"/>
    </xf>
    <xf numFmtId="0" fontId="0" fillId="0" borderId="7" xfId="0" applyBorder="1" applyProtection="1">
      <protection locked="0"/>
    </xf>
    <xf numFmtId="165" fontId="0" fillId="0" borderId="7" xfId="0" applyNumberFormat="1" applyBorder="1" applyProtection="1">
      <protection locked="0"/>
    </xf>
    <xf numFmtId="0" fontId="6" fillId="0" borderId="0" xfId="0" applyFont="1"/>
    <xf numFmtId="165" fontId="7" fillId="0" borderId="0" xfId="0" applyNumberFormat="1" applyFont="1"/>
    <xf numFmtId="1" fontId="4" fillId="0" borderId="0" xfId="1" applyNumberFormat="1" applyFont="1" applyFill="1" applyBorder="1" applyAlignment="1">
      <alignment horizontal="center" vertical="center"/>
    </xf>
    <xf numFmtId="0" fontId="5" fillId="4" borderId="0" xfId="0" applyFont="1" applyFill="1" applyBorder="1" applyAlignment="1">
      <alignment horizontal="center" vertical="center"/>
    </xf>
    <xf numFmtId="1" fontId="4" fillId="0" borderId="21" xfId="1" applyNumberFormat="1" applyFont="1" applyFill="1" applyBorder="1" applyAlignment="1">
      <alignment horizontal="center" vertical="center"/>
    </xf>
    <xf numFmtId="1" fontId="4" fillId="0" borderId="22" xfId="1" applyNumberFormat="1" applyFont="1" applyFill="1" applyBorder="1" applyAlignment="1">
      <alignment horizontal="center" vertical="center"/>
    </xf>
    <xf numFmtId="0" fontId="0" fillId="0" borderId="8" xfId="0" applyBorder="1" applyProtection="1"/>
    <xf numFmtId="0" fontId="0" fillId="0" borderId="0" xfId="0" applyBorder="1" applyProtection="1"/>
    <xf numFmtId="1" fontId="4" fillId="0" borderId="20" xfId="1" applyNumberFormat="1" applyFont="1" applyFill="1" applyBorder="1" applyAlignment="1" applyProtection="1">
      <alignment horizontal="center" vertical="center"/>
    </xf>
    <xf numFmtId="0" fontId="0" fillId="0" borderId="10" xfId="0" applyBorder="1" applyProtection="1"/>
    <xf numFmtId="0" fontId="0" fillId="0" borderId="11" xfId="0" applyBorder="1" applyProtection="1"/>
    <xf numFmtId="1" fontId="4" fillId="0" borderId="19" xfId="1" applyNumberFormat="1" applyFont="1" applyFill="1" applyBorder="1" applyAlignment="1" applyProtection="1">
      <alignment horizontal="center" vertical="center"/>
    </xf>
    <xf numFmtId="0" fontId="8" fillId="4" borderId="15" xfId="0" applyFont="1" applyFill="1" applyBorder="1"/>
    <xf numFmtId="0" fontId="8" fillId="4" borderId="16" xfId="0" applyFont="1" applyFill="1" applyBorder="1"/>
    <xf numFmtId="0" fontId="8" fillId="4" borderId="17" xfId="0" applyFont="1" applyFill="1" applyBorder="1" applyProtection="1">
      <protection locked="0"/>
    </xf>
    <xf numFmtId="165" fontId="9" fillId="4" borderId="17" xfId="0" applyNumberFormat="1" applyFont="1" applyFill="1" applyBorder="1" applyProtection="1">
      <protection locked="0"/>
    </xf>
    <xf numFmtId="165" fontId="9" fillId="4" borderId="18" xfId="0" applyNumberFormat="1" applyFont="1" applyFill="1" applyBorder="1" applyProtection="1">
      <protection locked="0"/>
    </xf>
    <xf numFmtId="0" fontId="6" fillId="0" borderId="23" xfId="0" applyFont="1" applyBorder="1"/>
    <xf numFmtId="0" fontId="6" fillId="0" borderId="24" xfId="0" applyFont="1" applyBorder="1"/>
    <xf numFmtId="0" fontId="6" fillId="5" borderId="24" xfId="0" applyFont="1" applyFill="1" applyBorder="1"/>
    <xf numFmtId="165" fontId="7" fillId="5" borderId="24" xfId="0" applyNumberFormat="1" applyFont="1" applyFill="1" applyBorder="1"/>
    <xf numFmtId="0" fontId="6" fillId="6" borderId="24" xfId="0" applyFont="1" applyFill="1" applyBorder="1"/>
    <xf numFmtId="165" fontId="7" fillId="6" borderId="24" xfId="0" applyNumberFormat="1" applyFont="1" applyFill="1" applyBorder="1"/>
    <xf numFmtId="165" fontId="7" fillId="5" borderId="25" xfId="0" applyNumberFormat="1" applyFont="1" applyFill="1" applyBorder="1"/>
    <xf numFmtId="0" fontId="6" fillId="0" borderId="26" xfId="0" applyFont="1" applyBorder="1"/>
    <xf numFmtId="0" fontId="6" fillId="0" borderId="27" xfId="0" applyFont="1" applyBorder="1"/>
    <xf numFmtId="0" fontId="6" fillId="5" borderId="27" xfId="0" applyFont="1" applyFill="1" applyBorder="1"/>
    <xf numFmtId="165" fontId="7" fillId="5" borderId="27" xfId="0" applyNumberFormat="1" applyFont="1" applyFill="1" applyBorder="1"/>
    <xf numFmtId="0" fontId="6" fillId="6" borderId="27" xfId="0" applyFont="1" applyFill="1" applyBorder="1"/>
    <xf numFmtId="165" fontId="7" fillId="6" borderId="27" xfId="0" applyNumberFormat="1" applyFont="1" applyFill="1" applyBorder="1"/>
    <xf numFmtId="165" fontId="7" fillId="5" borderId="28" xfId="0" applyNumberFormat="1" applyFont="1" applyFill="1" applyBorder="1"/>
    <xf numFmtId="0" fontId="6" fillId="0" borderId="29" xfId="0" applyFont="1" applyBorder="1"/>
    <xf numFmtId="0" fontId="6" fillId="0" borderId="30" xfId="0" applyFont="1" applyBorder="1"/>
    <xf numFmtId="0" fontId="6" fillId="5" borderId="30" xfId="0" applyFont="1" applyFill="1" applyBorder="1"/>
    <xf numFmtId="165" fontId="7" fillId="5" borderId="30" xfId="0" applyNumberFormat="1" applyFont="1" applyFill="1" applyBorder="1"/>
    <xf numFmtId="0" fontId="6" fillId="6" borderId="30" xfId="0" applyFont="1" applyFill="1" applyBorder="1"/>
    <xf numFmtId="165" fontId="7" fillId="6" borderId="30" xfId="0" applyNumberFormat="1" applyFont="1" applyFill="1" applyBorder="1"/>
    <xf numFmtId="165" fontId="7" fillId="5" borderId="31" xfId="0" applyNumberFormat="1" applyFont="1" applyFill="1" applyBorder="1"/>
    <xf numFmtId="0" fontId="5" fillId="4" borderId="0" xfId="0" applyFont="1" applyFill="1" applyBorder="1" applyAlignment="1" applyProtection="1">
      <alignment vertical="center"/>
      <protection locked="0"/>
    </xf>
    <xf numFmtId="0" fontId="5" fillId="4" borderId="8" xfId="0" applyFont="1" applyFill="1" applyBorder="1" applyAlignment="1">
      <alignment horizontal="right" vertical="center"/>
    </xf>
    <xf numFmtId="0" fontId="5" fillId="4" borderId="9" xfId="0" applyFont="1" applyFill="1" applyBorder="1" applyAlignment="1">
      <alignment horizontal="left" vertical="center"/>
    </xf>
    <xf numFmtId="0" fontId="5" fillId="4" borderId="4" xfId="0" applyFont="1" applyFill="1" applyBorder="1" applyAlignment="1">
      <alignment horizontal="center" vertical="center"/>
    </xf>
    <xf numFmtId="0" fontId="5" fillId="4" borderId="5" xfId="0" applyFont="1" applyFill="1" applyBorder="1" applyAlignment="1">
      <alignment horizontal="center" vertical="center"/>
    </xf>
    <xf numFmtId="167" fontId="0" fillId="0" borderId="0" xfId="0" applyNumberFormat="1" applyBorder="1" applyProtection="1"/>
    <xf numFmtId="167" fontId="0" fillId="0" borderId="11" xfId="0" applyNumberFormat="1" applyBorder="1" applyProtection="1"/>
    <xf numFmtId="0" fontId="10" fillId="0" borderId="0" xfId="0" applyFont="1"/>
    <xf numFmtId="0" fontId="11" fillId="0" borderId="0" xfId="0" applyFont="1"/>
    <xf numFmtId="0" fontId="11" fillId="0" borderId="23" xfId="0" applyFont="1" applyBorder="1"/>
    <xf numFmtId="0" fontId="11" fillId="0" borderId="24" xfId="0" applyFont="1" applyBorder="1"/>
    <xf numFmtId="0" fontId="11" fillId="5" borderId="27" xfId="0" applyFont="1" applyFill="1" applyBorder="1"/>
    <xf numFmtId="165" fontId="14" fillId="5" borderId="27" xfId="0" applyNumberFormat="1" applyFont="1" applyFill="1" applyBorder="1"/>
    <xf numFmtId="0" fontId="11" fillId="6" borderId="27" xfId="0" applyFont="1" applyFill="1" applyBorder="1"/>
    <xf numFmtId="0" fontId="14" fillId="6" borderId="27" xfId="0" quotePrefix="1" applyNumberFormat="1" applyFont="1" applyFill="1" applyBorder="1"/>
    <xf numFmtId="165" fontId="14" fillId="6" borderId="27" xfId="0" applyNumberFormat="1" applyFont="1" applyFill="1" applyBorder="1"/>
    <xf numFmtId="165" fontId="14" fillId="7" borderId="27" xfId="0" applyNumberFormat="1" applyFont="1" applyFill="1" applyBorder="1"/>
    <xf numFmtId="0" fontId="11" fillId="6" borderId="24" xfId="0" applyFont="1" applyFill="1" applyBorder="1"/>
    <xf numFmtId="165" fontId="14" fillId="6" borderId="24" xfId="0" applyNumberFormat="1" applyFont="1" applyFill="1" applyBorder="1"/>
    <xf numFmtId="0" fontId="11" fillId="5" borderId="24" xfId="0" applyFont="1" applyFill="1" applyBorder="1"/>
    <xf numFmtId="165" fontId="14" fillId="5" borderId="24" xfId="0" applyNumberFormat="1" applyFont="1" applyFill="1" applyBorder="1"/>
    <xf numFmtId="165" fontId="14" fillId="7" borderId="24" xfId="0" applyNumberFormat="1" applyFont="1" applyFill="1" applyBorder="1"/>
    <xf numFmtId="165" fontId="14" fillId="5" borderId="25" xfId="0" applyNumberFormat="1" applyFont="1" applyFill="1" applyBorder="1"/>
    <xf numFmtId="0" fontId="11" fillId="0" borderId="26" xfId="0" applyFont="1" applyBorder="1"/>
    <xf numFmtId="0" fontId="11" fillId="0" borderId="27" xfId="0" applyFont="1" applyBorder="1"/>
    <xf numFmtId="165" fontId="14" fillId="5" borderId="28" xfId="0" applyNumberFormat="1" applyFont="1" applyFill="1" applyBorder="1"/>
    <xf numFmtId="0" fontId="11" fillId="0" borderId="29" xfId="0" applyFont="1" applyBorder="1"/>
    <xf numFmtId="0" fontId="11" fillId="0" borderId="30" xfId="0" applyFont="1" applyBorder="1"/>
    <xf numFmtId="0" fontId="11" fillId="5" borderId="30" xfId="0" applyFont="1" applyFill="1" applyBorder="1"/>
    <xf numFmtId="165" fontId="14" fillId="5" borderId="30" xfId="0" applyNumberFormat="1" applyFont="1" applyFill="1" applyBorder="1"/>
    <xf numFmtId="0" fontId="11" fillId="6" borderId="30" xfId="0" applyFont="1" applyFill="1" applyBorder="1"/>
    <xf numFmtId="165" fontId="14" fillId="6" borderId="30" xfId="0" applyNumberFormat="1" applyFont="1" applyFill="1" applyBorder="1"/>
    <xf numFmtId="165" fontId="14" fillId="7" borderId="30" xfId="0" applyNumberFormat="1" applyFont="1" applyFill="1" applyBorder="1"/>
    <xf numFmtId="165" fontId="14" fillId="5" borderId="31" xfId="0" applyNumberFormat="1" applyFont="1" applyFill="1" applyBorder="1"/>
    <xf numFmtId="0" fontId="5" fillId="4" borderId="0" xfId="0" applyFont="1" applyFill="1" applyBorder="1" applyAlignment="1" applyProtection="1">
      <alignment horizontal="center" vertical="center"/>
      <protection locked="0"/>
    </xf>
    <xf numFmtId="0" fontId="11" fillId="6" borderId="27" xfId="0" quotePrefix="1" applyFont="1" applyFill="1" applyBorder="1"/>
    <xf numFmtId="0" fontId="11" fillId="0" borderId="0" xfId="0" applyFont="1" applyAlignment="1">
      <alignment wrapText="1"/>
    </xf>
    <xf numFmtId="0" fontId="12" fillId="4" borderId="15" xfId="0" applyFont="1" applyFill="1" applyBorder="1" applyAlignment="1">
      <alignment wrapText="1"/>
    </xf>
    <xf numFmtId="0" fontId="12" fillId="4" borderId="16" xfId="0" applyFont="1" applyFill="1" applyBorder="1" applyAlignment="1">
      <alignment wrapText="1"/>
    </xf>
    <xf numFmtId="0" fontId="12" fillId="4" borderId="17" xfId="0" applyFont="1" applyFill="1" applyBorder="1" applyAlignment="1" applyProtection="1">
      <alignment wrapText="1"/>
      <protection locked="0"/>
    </xf>
    <xf numFmtId="165" fontId="13" fillId="4" borderId="17" xfId="0" applyNumberFormat="1" applyFont="1" applyFill="1" applyBorder="1" applyAlignment="1" applyProtection="1">
      <alignment wrapText="1"/>
      <protection locked="0"/>
    </xf>
    <xf numFmtId="165" fontId="13" fillId="4" borderId="18" xfId="0" applyNumberFormat="1" applyFont="1" applyFill="1" applyBorder="1" applyAlignment="1" applyProtection="1">
      <alignment wrapText="1"/>
      <protection locked="0"/>
    </xf>
    <xf numFmtId="0" fontId="10" fillId="0" borderId="0" xfId="0" applyFont="1" applyAlignment="1">
      <alignment wrapText="1"/>
    </xf>
    <xf numFmtId="166" fontId="0" fillId="0" borderId="12" xfId="0" applyNumberFormat="1" applyBorder="1" applyProtection="1"/>
    <xf numFmtId="166" fontId="0" fillId="0" borderId="13" xfId="0" applyNumberFormat="1" applyBorder="1" applyAlignment="1" applyProtection="1">
      <alignment horizontal="left"/>
    </xf>
    <xf numFmtId="167" fontId="0" fillId="0" borderId="13" xfId="0" applyNumberFormat="1" applyBorder="1" applyAlignment="1" applyProtection="1">
      <alignment horizontal="right"/>
    </xf>
    <xf numFmtId="166" fontId="0" fillId="0" borderId="8" xfId="0" applyNumberFormat="1" applyBorder="1" applyProtection="1"/>
    <xf numFmtId="166" fontId="0" fillId="0" borderId="0" xfId="0" applyNumberFormat="1" applyBorder="1" applyAlignment="1" applyProtection="1">
      <alignment horizontal="left"/>
    </xf>
    <xf numFmtId="167" fontId="0" fillId="0" borderId="0" xfId="0" applyNumberFormat="1" applyBorder="1" applyAlignment="1" applyProtection="1">
      <alignment horizontal="right"/>
    </xf>
    <xf numFmtId="166" fontId="0" fillId="0" borderId="10" xfId="0" applyNumberFormat="1" applyBorder="1" applyProtection="1"/>
    <xf numFmtId="166" fontId="0" fillId="0" borderId="11" xfId="0" applyNumberFormat="1" applyBorder="1" applyAlignment="1" applyProtection="1">
      <alignment horizontal="left"/>
    </xf>
    <xf numFmtId="167" fontId="0" fillId="0" borderId="11" xfId="0" applyNumberFormat="1" applyBorder="1" applyAlignment="1" applyProtection="1">
      <alignment horizontal="right"/>
    </xf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0" fillId="0" borderId="0" xfId="0" applyBorder="1"/>
    <xf numFmtId="0" fontId="0" fillId="0" borderId="36" xfId="0" applyBorder="1"/>
    <xf numFmtId="0" fontId="16" fillId="0" borderId="35" xfId="0" applyFont="1" applyBorder="1"/>
    <xf numFmtId="0" fontId="16" fillId="0" borderId="0" xfId="0" applyFont="1" applyBorder="1" applyAlignment="1">
      <alignment horizontal="center"/>
    </xf>
    <xf numFmtId="0" fontId="0" fillId="0" borderId="37" xfId="0" applyBorder="1"/>
    <xf numFmtId="0" fontId="16" fillId="0" borderId="37" xfId="0" applyFont="1" applyBorder="1" applyAlignment="1">
      <alignment horizontal="center"/>
    </xf>
    <xf numFmtId="0" fontId="16" fillId="0" borderId="37" xfId="0" applyFont="1" applyBorder="1"/>
    <xf numFmtId="0" fontId="0" fillId="0" borderId="37" xfId="0" applyBorder="1" applyAlignment="1">
      <alignment horizontal="center"/>
    </xf>
    <xf numFmtId="0" fontId="16" fillId="0" borderId="0" xfId="0" applyFont="1" applyBorder="1"/>
    <xf numFmtId="0" fontId="17" fillId="0" borderId="35" xfId="0" applyFont="1" applyBorder="1"/>
    <xf numFmtId="0" fontId="0" fillId="3" borderId="0" xfId="0" applyFill="1" applyBorder="1"/>
    <xf numFmtId="0" fontId="18" fillId="0" borderId="35" xfId="0" applyFont="1" applyBorder="1"/>
    <xf numFmtId="168" fontId="0" fillId="0" borderId="0" xfId="0" applyNumberFormat="1" applyBorder="1" applyAlignment="1">
      <alignment horizontal="left"/>
    </xf>
    <xf numFmtId="49" fontId="0" fillId="0" borderId="0" xfId="0" applyNumberFormat="1" applyBorder="1"/>
    <xf numFmtId="0" fontId="0" fillId="8" borderId="0" xfId="0" applyFill="1" applyBorder="1"/>
    <xf numFmtId="0" fontId="18" fillId="0" borderId="0" xfId="0" applyFont="1" applyBorder="1"/>
    <xf numFmtId="0" fontId="0" fillId="0" borderId="0" xfId="0" applyBorder="1" applyAlignment="1">
      <alignment horizontal="left"/>
    </xf>
    <xf numFmtId="0" fontId="5" fillId="3" borderId="35" xfId="0" applyFont="1" applyFill="1" applyBorder="1"/>
    <xf numFmtId="0" fontId="5" fillId="3" borderId="0" xfId="0" applyFont="1" applyFill="1" applyBorder="1"/>
    <xf numFmtId="0" fontId="0" fillId="3" borderId="36" xfId="0" applyFill="1" applyBorder="1"/>
    <xf numFmtId="0" fontId="0" fillId="0" borderId="35" xfId="0" applyBorder="1" applyAlignment="1">
      <alignment horizontal="left" indent="1"/>
    </xf>
    <xf numFmtId="0" fontId="0" fillId="0" borderId="0" xfId="0" applyBorder="1" applyAlignment="1">
      <alignment horizontal="left" indent="1"/>
    </xf>
    <xf numFmtId="0" fontId="0" fillId="0" borderId="39" xfId="0" applyBorder="1"/>
    <xf numFmtId="0" fontId="0" fillId="8" borderId="35" xfId="0" applyFill="1" applyBorder="1" applyAlignment="1">
      <alignment horizontal="left" indent="1"/>
    </xf>
    <xf numFmtId="0" fontId="0" fillId="8" borderId="0" xfId="0" applyFill="1" applyBorder="1" applyAlignment="1">
      <alignment horizontal="left" indent="1"/>
    </xf>
    <xf numFmtId="0" fontId="19" fillId="9" borderId="36" xfId="0" applyFont="1" applyFill="1" applyBorder="1"/>
    <xf numFmtId="14" fontId="0" fillId="9" borderId="36" xfId="0" applyNumberFormat="1" applyFill="1" applyBorder="1" applyAlignment="1">
      <alignment horizontal="left"/>
    </xf>
    <xf numFmtId="0" fontId="0" fillId="9" borderId="36" xfId="0" applyFill="1" applyBorder="1"/>
    <xf numFmtId="0" fontId="16" fillId="8" borderId="35" xfId="0" applyFont="1" applyFill="1" applyBorder="1"/>
    <xf numFmtId="0" fontId="0" fillId="8" borderId="39" xfId="0" applyFill="1" applyBorder="1"/>
    <xf numFmtId="0" fontId="0" fillId="8" borderId="35" xfId="0" applyFill="1" applyBorder="1"/>
    <xf numFmtId="0" fontId="18" fillId="0" borderId="36" xfId="0" applyFont="1" applyBorder="1"/>
    <xf numFmtId="14" fontId="0" fillId="0" borderId="36" xfId="0" applyNumberFormat="1" applyBorder="1" applyAlignment="1">
      <alignment horizontal="left"/>
    </xf>
    <xf numFmtId="0" fontId="20" fillId="0" borderId="35" xfId="0" applyFont="1" applyBorder="1"/>
    <xf numFmtId="0" fontId="20" fillId="0" borderId="0" xfId="0" applyFont="1" applyBorder="1"/>
    <xf numFmtId="0" fontId="17" fillId="0" borderId="0" xfId="0" applyFont="1" applyBorder="1"/>
    <xf numFmtId="0" fontId="20" fillId="0" borderId="40" xfId="0" applyFont="1" applyBorder="1"/>
    <xf numFmtId="0" fontId="0" fillId="0" borderId="40" xfId="0" applyBorder="1"/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0" fillId="0" borderId="44" xfId="0" applyBorder="1"/>
    <xf numFmtId="0" fontId="0" fillId="0" borderId="0" xfId="0" applyFill="1" applyBorder="1" applyAlignment="1">
      <alignment horizontal="left"/>
    </xf>
    <xf numFmtId="0" fontId="0" fillId="0" borderId="0" xfId="0" applyFill="1" applyBorder="1"/>
    <xf numFmtId="0" fontId="0" fillId="0" borderId="45" xfId="0" applyBorder="1"/>
    <xf numFmtId="0" fontId="0" fillId="0" borderId="46" xfId="0" applyBorder="1"/>
    <xf numFmtId="0" fontId="0" fillId="0" borderId="47" xfId="0" applyBorder="1"/>
    <xf numFmtId="49" fontId="0" fillId="0" borderId="0" xfId="0" applyNumberFormat="1"/>
    <xf numFmtId="49" fontId="21" fillId="0" borderId="0" xfId="2" applyNumberFormat="1"/>
    <xf numFmtId="0" fontId="5" fillId="10" borderId="35" xfId="0" applyFont="1" applyFill="1" applyBorder="1"/>
    <xf numFmtId="0" fontId="25" fillId="4" borderId="0" xfId="0" applyFont="1" applyFill="1" applyBorder="1" applyAlignment="1">
      <alignment vertical="center"/>
    </xf>
    <xf numFmtId="0" fontId="26" fillId="0" borderId="0" xfId="0" applyFont="1" applyAlignment="1">
      <alignment horizontal="center" vertical="center"/>
    </xf>
    <xf numFmtId="0" fontId="0" fillId="0" borderId="0" xfId="0"/>
    <xf numFmtId="0" fontId="0" fillId="0" borderId="0" xfId="0"/>
    <xf numFmtId="0" fontId="0" fillId="0" borderId="0" xfId="0" applyBorder="1" applyAlignment="1">
      <alignment horizontal="left" indent="1"/>
    </xf>
    <xf numFmtId="0" fontId="0" fillId="8" borderId="0" xfId="0" applyFill="1" applyBorder="1" applyAlignment="1">
      <alignment horizontal="left" indent="1"/>
    </xf>
    <xf numFmtId="0" fontId="16" fillId="0" borderId="0" xfId="0" applyFont="1"/>
    <xf numFmtId="0" fontId="22" fillId="0" borderId="0" xfId="0" applyFont="1" applyFill="1" applyBorder="1" applyAlignment="1">
      <alignment horizontal="left" vertical="center"/>
    </xf>
    <xf numFmtId="0" fontId="22" fillId="0" borderId="0" xfId="0" applyFont="1" applyBorder="1" applyAlignment="1">
      <alignment vertical="center"/>
    </xf>
    <xf numFmtId="0" fontId="24" fillId="4" borderId="0" xfId="0" applyFont="1" applyFill="1" applyBorder="1" applyAlignment="1">
      <alignment horizontal="left" vertical="center" indent="1"/>
    </xf>
    <xf numFmtId="0" fontId="0" fillId="0" borderId="0" xfId="0" applyBorder="1"/>
    <xf numFmtId="0" fontId="0" fillId="4" borderId="0" xfId="0" applyFill="1" applyBorder="1"/>
    <xf numFmtId="0" fontId="23" fillId="4" borderId="0" xfId="0" applyFont="1" applyFill="1" applyBorder="1" applyAlignment="1">
      <alignment horizontal="left" vertical="center"/>
    </xf>
    <xf numFmtId="0" fontId="24" fillId="4" borderId="0" xfId="0" applyFont="1" applyFill="1" applyBorder="1" applyAlignment="1">
      <alignment horizontal="left" vertical="center"/>
    </xf>
    <xf numFmtId="0" fontId="24" fillId="4" borderId="0" xfId="0" applyFont="1" applyFill="1" applyBorder="1" applyAlignment="1">
      <alignment horizontal="right" vertical="center"/>
    </xf>
    <xf numFmtId="0" fontId="28" fillId="0" borderId="0" xfId="0" applyFont="1" applyBorder="1"/>
    <xf numFmtId="0" fontId="22" fillId="0" borderId="0" xfId="0" applyFont="1" applyFill="1" applyBorder="1" applyAlignment="1">
      <alignment horizontal="left" vertical="center"/>
    </xf>
    <xf numFmtId="0" fontId="30" fillId="0" borderId="0" xfId="0" applyFont="1" applyBorder="1"/>
    <xf numFmtId="0" fontId="30" fillId="0" borderId="0" xfId="0" applyFont="1" applyBorder="1" applyAlignment="1">
      <alignment vertical="center"/>
    </xf>
    <xf numFmtId="0" fontId="31" fillId="0" borderId="0" xfId="0" applyFont="1" applyBorder="1" applyAlignment="1">
      <alignment vertical="center"/>
    </xf>
    <xf numFmtId="0" fontId="30" fillId="4" borderId="0" xfId="0" applyFont="1" applyFill="1" applyBorder="1"/>
    <xf numFmtId="0" fontId="29" fillId="4" borderId="0" xfId="0" applyFont="1" applyFill="1" applyBorder="1" applyAlignment="1">
      <alignment horizontal="left" vertical="center" indent="1"/>
    </xf>
    <xf numFmtId="0" fontId="29" fillId="4" borderId="0" xfId="0" applyFont="1" applyFill="1" applyBorder="1" applyAlignment="1">
      <alignment horizontal="left" vertical="center"/>
    </xf>
    <xf numFmtId="0" fontId="29" fillId="4" borderId="0" xfId="0" applyFont="1" applyFill="1" applyBorder="1" applyAlignment="1">
      <alignment horizontal="right" vertical="center"/>
    </xf>
    <xf numFmtId="0" fontId="30" fillId="0" borderId="0" xfId="0" applyFont="1" applyFill="1" applyBorder="1"/>
    <xf numFmtId="0" fontId="29" fillId="0" borderId="0" xfId="0" applyFont="1" applyFill="1" applyBorder="1" applyAlignment="1">
      <alignment vertical="center"/>
    </xf>
    <xf numFmtId="0" fontId="30" fillId="0" borderId="0" xfId="0" applyFont="1"/>
    <xf numFmtId="0" fontId="31" fillId="0" borderId="0" xfId="0" applyFont="1" applyBorder="1"/>
    <xf numFmtId="0" fontId="31" fillId="0" borderId="0" xfId="0" applyFont="1" applyFill="1" applyBorder="1" applyAlignment="1">
      <alignment horizontal="left" vertical="center"/>
    </xf>
    <xf numFmtId="43" fontId="31" fillId="0" borderId="0" xfId="0" applyNumberFormat="1" applyFont="1" applyBorder="1" applyAlignment="1">
      <alignment vertical="center"/>
    </xf>
    <xf numFmtId="0" fontId="31" fillId="0" borderId="52" xfId="0" applyFont="1" applyBorder="1"/>
    <xf numFmtId="0" fontId="33" fillId="13" borderId="70" xfId="0" applyFont="1" applyFill="1" applyBorder="1" applyAlignment="1">
      <alignment horizontal="center" vertical="center"/>
    </xf>
    <xf numFmtId="0" fontId="34" fillId="12" borderId="70" xfId="0" applyFont="1" applyFill="1" applyBorder="1" applyAlignment="1">
      <alignment vertical="center"/>
    </xf>
    <xf numFmtId="0" fontId="21" fillId="12" borderId="70" xfId="2" applyFill="1" applyBorder="1" applyAlignment="1">
      <alignment vertical="center"/>
    </xf>
    <xf numFmtId="0" fontId="35" fillId="12" borderId="70" xfId="0" applyFont="1" applyFill="1" applyBorder="1" applyAlignment="1">
      <alignment vertical="center"/>
    </xf>
    <xf numFmtId="0" fontId="30" fillId="4" borderId="55" xfId="0" applyFont="1" applyFill="1" applyBorder="1"/>
    <xf numFmtId="0" fontId="29" fillId="4" borderId="55" xfId="0" applyFont="1" applyFill="1" applyBorder="1" applyAlignment="1">
      <alignment horizontal="left" vertical="center" indent="1"/>
    </xf>
    <xf numFmtId="0" fontId="29" fillId="4" borderId="55" xfId="0" applyFont="1" applyFill="1" applyBorder="1" applyAlignment="1">
      <alignment horizontal="left" vertical="center"/>
    </xf>
    <xf numFmtId="0" fontId="29" fillId="4" borderId="55" xfId="0" applyFont="1" applyFill="1" applyBorder="1" applyAlignment="1">
      <alignment horizontal="right" vertical="center"/>
    </xf>
    <xf numFmtId="0" fontId="29" fillId="4" borderId="56" xfId="0" applyFont="1" applyFill="1" applyBorder="1" applyAlignment="1">
      <alignment horizontal="left" vertical="center" indent="1"/>
    </xf>
    <xf numFmtId="0" fontId="31" fillId="0" borderId="0" xfId="0" applyFont="1" applyAlignment="1">
      <alignment horizontal="left"/>
    </xf>
    <xf numFmtId="0" fontId="36" fillId="0" borderId="0" xfId="0" applyFont="1" applyFill="1" applyBorder="1" applyAlignment="1">
      <alignment horizontal="center" vertical="center"/>
    </xf>
    <xf numFmtId="0" fontId="36" fillId="11" borderId="0" xfId="0" applyFont="1" applyFill="1" applyBorder="1" applyAlignment="1">
      <alignment horizontal="center" vertical="center"/>
    </xf>
    <xf numFmtId="0" fontId="36" fillId="11" borderId="57" xfId="0" applyFont="1" applyFill="1" applyBorder="1" applyAlignment="1">
      <alignment horizontal="center" vertical="center"/>
    </xf>
    <xf numFmtId="0" fontId="29" fillId="0" borderId="58" xfId="0" applyFont="1" applyFill="1" applyBorder="1" applyAlignment="1">
      <alignment vertical="center"/>
    </xf>
    <xf numFmtId="0" fontId="31" fillId="0" borderId="0" xfId="0" applyFont="1" applyAlignment="1">
      <alignment horizontal="left" vertical="center"/>
    </xf>
    <xf numFmtId="0" fontId="31" fillId="0" borderId="0" xfId="0" applyFont="1" applyFill="1" applyBorder="1" applyAlignment="1">
      <alignment vertical="center"/>
    </xf>
    <xf numFmtId="43" fontId="31" fillId="0" borderId="0" xfId="0" applyNumberFormat="1" applyFont="1" applyFill="1" applyBorder="1" applyAlignment="1">
      <alignment vertical="center"/>
    </xf>
    <xf numFmtId="43" fontId="32" fillId="0" borderId="0" xfId="0" applyNumberFormat="1" applyFont="1" applyFill="1" applyBorder="1" applyAlignment="1">
      <alignment horizontal="right" vertical="center"/>
    </xf>
    <xf numFmtId="43" fontId="31" fillId="0" borderId="0" xfId="0" applyNumberFormat="1" applyFont="1" applyFill="1" applyBorder="1" applyAlignment="1">
      <alignment horizontal="right" vertical="center"/>
    </xf>
    <xf numFmtId="0" fontId="31" fillId="0" borderId="0" xfId="0" applyFont="1" applyFill="1" applyBorder="1" applyAlignment="1">
      <alignment horizontal="left"/>
    </xf>
    <xf numFmtId="0" fontId="37" fillId="0" borderId="0" xfId="0" applyFont="1" applyBorder="1"/>
    <xf numFmtId="0" fontId="37" fillId="0" borderId="0" xfId="0" applyFont="1"/>
    <xf numFmtId="0" fontId="0" fillId="0" borderId="0" xfId="0" applyBorder="1"/>
    <xf numFmtId="0" fontId="27" fillId="10" borderId="0" xfId="0" applyFont="1" applyFill="1" applyBorder="1"/>
    <xf numFmtId="0" fontId="27" fillId="10" borderId="0" xfId="0" applyFont="1" applyFill="1"/>
    <xf numFmtId="0" fontId="38" fillId="0" borderId="0" xfId="0" applyFont="1"/>
    <xf numFmtId="43" fontId="38" fillId="8" borderId="0" xfId="0" applyNumberFormat="1" applyFont="1" applyFill="1"/>
    <xf numFmtId="0" fontId="39" fillId="0" borderId="0" xfId="0" applyFont="1"/>
    <xf numFmtId="0" fontId="39" fillId="0" borderId="0" xfId="0" applyFont="1" applyFill="1"/>
    <xf numFmtId="0" fontId="38" fillId="0" borderId="0" xfId="0" applyFont="1" applyFill="1"/>
    <xf numFmtId="0" fontId="31" fillId="0" borderId="0" xfId="0" applyFont="1" applyBorder="1" applyAlignment="1">
      <alignment vertical="center"/>
    </xf>
    <xf numFmtId="0" fontId="29" fillId="4" borderId="55" xfId="0" applyFont="1" applyFill="1" applyBorder="1" applyAlignment="1">
      <alignment horizontal="left" vertical="center"/>
    </xf>
    <xf numFmtId="0" fontId="31" fillId="0" borderId="0" xfId="0" applyFont="1" applyBorder="1" applyAlignment="1">
      <alignment vertical="center"/>
    </xf>
    <xf numFmtId="0" fontId="0" fillId="0" borderId="0" xfId="0" applyBorder="1"/>
    <xf numFmtId="0" fontId="22" fillId="0" borderId="0" xfId="0" applyFont="1" applyBorder="1" applyAlignment="1">
      <alignment vertical="center"/>
    </xf>
    <xf numFmtId="0" fontId="0" fillId="0" borderId="0" xfId="0" applyAlignment="1">
      <alignment horizontal="center"/>
    </xf>
    <xf numFmtId="0" fontId="22" fillId="0" borderId="0" xfId="0" applyFont="1" applyFill="1" applyBorder="1" applyAlignment="1">
      <alignment horizontal="center" vertical="center"/>
    </xf>
    <xf numFmtId="0" fontId="22" fillId="0" borderId="51" xfId="0" applyFont="1" applyBorder="1" applyAlignment="1">
      <alignment vertical="center"/>
    </xf>
    <xf numFmtId="0" fontId="22" fillId="0" borderId="0" xfId="0" applyFont="1" applyBorder="1" applyAlignment="1">
      <alignment horizontal="center" vertical="center"/>
    </xf>
    <xf numFmtId="43" fontId="22" fillId="0" borderId="49" xfId="0" applyNumberFormat="1" applyFont="1" applyBorder="1" applyAlignment="1">
      <alignment vertical="center"/>
    </xf>
    <xf numFmtId="43" fontId="22" fillId="0" borderId="53" xfId="0" applyNumberFormat="1" applyFont="1" applyBorder="1" applyAlignment="1">
      <alignment vertical="center"/>
    </xf>
    <xf numFmtId="0" fontId="22" fillId="0" borderId="53" xfId="0" applyFont="1" applyFill="1" applyBorder="1" applyAlignment="1">
      <alignment horizontal="left" vertical="center"/>
    </xf>
    <xf numFmtId="0" fontId="24" fillId="4" borderId="0" xfId="0" applyFont="1" applyFill="1" applyBorder="1" applyAlignment="1">
      <alignment horizontal="left" vertical="center" indent="1"/>
    </xf>
    <xf numFmtId="0" fontId="23" fillId="4" borderId="0" xfId="0" applyFont="1" applyFill="1" applyBorder="1" applyAlignment="1">
      <alignment vertical="center"/>
    </xf>
    <xf numFmtId="0" fontId="23" fillId="4" borderId="0" xfId="0" applyFont="1" applyFill="1" applyBorder="1" applyAlignment="1">
      <alignment horizontal="left" vertical="center"/>
    </xf>
    <xf numFmtId="0" fontId="29" fillId="4" borderId="54" xfId="0" applyFont="1" applyFill="1" applyBorder="1" applyAlignment="1">
      <alignment horizontal="left" vertical="center"/>
    </xf>
    <xf numFmtId="0" fontId="29" fillId="4" borderId="55" xfId="0" applyFont="1" applyFill="1" applyBorder="1" applyAlignment="1">
      <alignment horizontal="left" vertical="center"/>
    </xf>
    <xf numFmtId="0" fontId="29" fillId="4" borderId="0" xfId="0" applyFont="1" applyFill="1" applyBorder="1" applyAlignment="1">
      <alignment horizontal="left" vertical="center"/>
    </xf>
    <xf numFmtId="0" fontId="29" fillId="3" borderId="59" xfId="0" applyFont="1" applyFill="1" applyBorder="1" applyAlignment="1">
      <alignment vertical="center"/>
    </xf>
    <xf numFmtId="0" fontId="29" fillId="3" borderId="59" xfId="0" applyFont="1" applyFill="1" applyBorder="1" applyAlignment="1">
      <alignment horizontal="left" vertical="center"/>
    </xf>
    <xf numFmtId="0" fontId="29" fillId="3" borderId="60" xfId="0" applyFont="1" applyFill="1" applyBorder="1" applyAlignment="1">
      <alignment horizontal="left" vertical="center"/>
    </xf>
    <xf numFmtId="0" fontId="31" fillId="0" borderId="61" xfId="0" applyFont="1" applyFill="1" applyBorder="1" applyAlignment="1">
      <alignment horizontal="left" vertical="center"/>
    </xf>
    <xf numFmtId="0" fontId="31" fillId="0" borderId="62" xfId="0" applyFont="1" applyFill="1" applyBorder="1" applyAlignment="1">
      <alignment horizontal="left" vertical="center"/>
    </xf>
    <xf numFmtId="0" fontId="30" fillId="0" borderId="63" xfId="0" applyFont="1" applyBorder="1"/>
    <xf numFmtId="0" fontId="30" fillId="0" borderId="61" xfId="0" applyFont="1" applyBorder="1"/>
    <xf numFmtId="0" fontId="30" fillId="0" borderId="62" xfId="0" applyFont="1" applyBorder="1"/>
    <xf numFmtId="43" fontId="31" fillId="0" borderId="64" xfId="0" applyNumberFormat="1" applyFont="1" applyBorder="1" applyAlignment="1">
      <alignment horizontal="right" vertical="center"/>
    </xf>
    <xf numFmtId="43" fontId="31" fillId="0" borderId="64" xfId="0" applyNumberFormat="1" applyFont="1" applyBorder="1" applyAlignment="1">
      <alignment vertical="center"/>
    </xf>
    <xf numFmtId="43" fontId="31" fillId="0" borderId="65" xfId="0" applyNumberFormat="1" applyFont="1" applyBorder="1" applyAlignment="1">
      <alignment vertical="center"/>
    </xf>
    <xf numFmtId="43" fontId="31" fillId="0" borderId="66" xfId="0" applyNumberFormat="1" applyFont="1" applyBorder="1" applyAlignment="1">
      <alignment horizontal="right" vertical="center"/>
    </xf>
    <xf numFmtId="43" fontId="31" fillId="0" borderId="67" xfId="0" applyNumberFormat="1" applyFont="1" applyBorder="1" applyAlignment="1">
      <alignment horizontal="right" vertical="center"/>
    </xf>
    <xf numFmtId="43" fontId="31" fillId="0" borderId="68" xfId="0" applyNumberFormat="1" applyFont="1" applyBorder="1" applyAlignment="1">
      <alignment vertical="center"/>
    </xf>
    <xf numFmtId="43" fontId="31" fillId="0" borderId="69" xfId="0" applyNumberFormat="1" applyFont="1" applyBorder="1" applyAlignment="1">
      <alignment vertical="center"/>
    </xf>
    <xf numFmtId="0" fontId="29" fillId="4" borderId="0" xfId="0" applyFont="1" applyFill="1" applyBorder="1" applyAlignment="1">
      <alignment horizontal="left" vertical="center" indent="1"/>
    </xf>
    <xf numFmtId="0" fontId="31" fillId="0" borderId="0" xfId="0" applyFont="1" applyBorder="1" applyAlignment="1">
      <alignment vertical="center"/>
    </xf>
    <xf numFmtId="169" fontId="31" fillId="0" borderId="0" xfId="0" applyNumberFormat="1" applyFont="1" applyBorder="1" applyAlignment="1">
      <alignment horizontal="left" vertical="center"/>
    </xf>
    <xf numFmtId="0" fontId="31" fillId="0" borderId="0" xfId="0" applyNumberFormat="1" applyFont="1" applyBorder="1" applyAlignment="1">
      <alignment vertical="center"/>
    </xf>
    <xf numFmtId="43" fontId="22" fillId="0" borderId="50" xfId="0" applyNumberFormat="1" applyFont="1" applyBorder="1" applyAlignment="1">
      <alignment vertical="center"/>
    </xf>
    <xf numFmtId="43" fontId="31" fillId="0" borderId="48" xfId="0" applyNumberFormat="1" applyFont="1" applyBorder="1" applyAlignment="1">
      <alignment vertical="center"/>
    </xf>
    <xf numFmtId="43" fontId="31" fillId="0" borderId="50" xfId="0" applyNumberFormat="1" applyFont="1" applyBorder="1" applyAlignment="1">
      <alignment vertical="center"/>
    </xf>
    <xf numFmtId="0" fontId="17" fillId="0" borderId="0" xfId="0" applyFont="1" applyBorder="1"/>
    <xf numFmtId="0" fontId="18" fillId="0" borderId="0" xfId="0" applyFont="1" applyBorder="1"/>
    <xf numFmtId="0" fontId="0" fillId="0" borderId="0" xfId="0" applyBorder="1"/>
    <xf numFmtId="0" fontId="5" fillId="3" borderId="0" xfId="0" applyFont="1" applyFill="1" applyBorder="1"/>
    <xf numFmtId="0" fontId="0" fillId="0" borderId="0" xfId="0" applyBorder="1" applyAlignment="1">
      <alignment horizontal="left" indent="1"/>
    </xf>
    <xf numFmtId="0" fontId="0" fillId="0" borderId="38" xfId="0" applyBorder="1"/>
    <xf numFmtId="0" fontId="0" fillId="8" borderId="0" xfId="0" applyNumberFormat="1" applyFill="1" applyBorder="1" applyAlignment="1">
      <alignment horizontal="right"/>
    </xf>
    <xf numFmtId="49" fontId="0" fillId="8" borderId="0" xfId="0" applyNumberFormat="1" applyFill="1" applyBorder="1" applyAlignment="1">
      <alignment horizontal="right"/>
    </xf>
    <xf numFmtId="0" fontId="0" fillId="8" borderId="0" xfId="0" applyFill="1" applyBorder="1" applyAlignment="1">
      <alignment horizontal="left" indent="1"/>
    </xf>
    <xf numFmtId="49" fontId="0" fillId="8" borderId="39" xfId="0" applyNumberFormat="1" applyFill="1" applyBorder="1" applyAlignment="1">
      <alignment horizontal="right"/>
    </xf>
    <xf numFmtId="0" fontId="0" fillId="8" borderId="39" xfId="0" applyFill="1" applyBorder="1" applyAlignment="1">
      <alignment horizontal="right"/>
    </xf>
    <xf numFmtId="0" fontId="0" fillId="8" borderId="0" xfId="0" applyFill="1" applyBorder="1"/>
    <xf numFmtId="0" fontId="0" fillId="0" borderId="0" xfId="0" applyBorder="1" applyAlignment="1"/>
    <xf numFmtId="0" fontId="0" fillId="0" borderId="39" xfId="0" applyBorder="1"/>
    <xf numFmtId="0" fontId="20" fillId="0" borderId="0" xfId="0" applyFont="1" applyBorder="1"/>
    <xf numFmtId="0" fontId="20" fillId="0" borderId="40" xfId="0" applyFont="1" applyBorder="1"/>
    <xf numFmtId="0" fontId="0" fillId="0" borderId="43" xfId="0" applyBorder="1"/>
    <xf numFmtId="0" fontId="5" fillId="4" borderId="1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0" fontId="5" fillId="4" borderId="3" xfId="0" applyFont="1" applyFill="1" applyBorder="1" applyAlignment="1">
      <alignment horizontal="center" vertical="center"/>
    </xf>
    <xf numFmtId="0" fontId="5" fillId="4" borderId="13" xfId="0" applyFont="1" applyFill="1" applyBorder="1" applyAlignment="1">
      <alignment vertical="center"/>
    </xf>
    <xf numFmtId="0" fontId="5" fillId="4" borderId="14" xfId="0" applyFont="1" applyFill="1" applyBorder="1" applyAlignment="1">
      <alignment vertical="center"/>
    </xf>
    <xf numFmtId="0" fontId="5" fillId="4" borderId="12" xfId="0" applyFont="1" applyFill="1" applyBorder="1" applyAlignment="1">
      <alignment horizontal="right" vertical="center"/>
    </xf>
    <xf numFmtId="0" fontId="5" fillId="4" borderId="13" xfId="0" applyFont="1" applyFill="1" applyBorder="1" applyAlignment="1">
      <alignment horizontal="right" vertical="center"/>
    </xf>
    <xf numFmtId="0" fontId="5" fillId="4" borderId="13" xfId="0" applyFont="1" applyFill="1" applyBorder="1" applyAlignment="1">
      <alignment horizontal="left" vertical="center"/>
    </xf>
    <xf numFmtId="0" fontId="5" fillId="4" borderId="14" xfId="0" applyFont="1" applyFill="1" applyBorder="1" applyAlignment="1">
      <alignment horizontal="left" vertical="center"/>
    </xf>
    <xf numFmtId="0" fontId="29" fillId="11" borderId="71" xfId="0" applyFont="1" applyFill="1" applyBorder="1" applyAlignment="1">
      <alignment horizontal="left" vertical="center"/>
    </xf>
    <xf numFmtId="43" fontId="32" fillId="0" borderId="72" xfId="0" applyNumberFormat="1" applyFont="1" applyBorder="1" applyAlignment="1">
      <alignment horizontal="right" vertical="center"/>
    </xf>
    <xf numFmtId="0" fontId="0" fillId="0" borderId="74" xfId="0" applyBorder="1"/>
    <xf numFmtId="0" fontId="0" fillId="0" borderId="75" xfId="0" applyBorder="1"/>
    <xf numFmtId="0" fontId="0" fillId="0" borderId="76" xfId="0" applyBorder="1"/>
    <xf numFmtId="0" fontId="28" fillId="10" borderId="73" xfId="0" applyFont="1" applyFill="1" applyBorder="1"/>
    <xf numFmtId="43" fontId="39" fillId="0" borderId="0" xfId="0" applyNumberFormat="1" applyFont="1"/>
  </cellXfs>
  <cellStyles count="3">
    <cellStyle name="Hyperlink" xfId="2" builtinId="8"/>
    <cellStyle name="Neutral" xfId="1" builtinId="28"/>
    <cellStyle name="Normal" xfId="0" builtinId="0"/>
  </cellStyles>
  <dxfs count="1">
    <dxf>
      <font>
        <b/>
        <i val="0"/>
      </font>
      <fill>
        <patternFill>
          <fgColor auto="1"/>
          <bgColor theme="0" tint="-4.9989318521683403E-2"/>
        </patternFill>
      </fill>
      <border>
        <top style="thin">
          <color theme="0" tint="-0.24994659260841701"/>
        </top>
        <bottom style="thin">
          <color theme="0" tint="-0.24994659260841701"/>
        </bottom>
        <vertical/>
        <horizontal/>
      </border>
    </dxf>
  </dxfs>
  <tableStyles count="0" defaultTableStyle="TableStyleMedium2" defaultPivotStyle="PivotStyleLight16"/>
  <colors>
    <mruColors>
      <color rgb="FFE9474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geonames">
        <xsd:complexType>
          <xsd:sequence minOccurs="0">
            <xsd:element minOccurs="0" maxOccurs="unbounded" nillable="true" name="country" form="unqualified">
              <xsd:complexType>
                <xsd:sequence minOccurs="0">
                  <xsd:element minOccurs="0" nillable="true" type="xsd:string" name="countryCode" form="unqualified"/>
                  <xsd:element minOccurs="0" nillable="true" type="xsd:string" name="countryName" form="unqualified"/>
                  <xsd:element minOccurs="0" nillable="true" type="xsd:integer" name="isoNumeric" form="unqualified"/>
                  <xsd:element minOccurs="0" nillable="true" type="xsd:string" name="isoAlpha3" form="unqualified"/>
                  <xsd:element minOccurs="0" nillable="true" type="xsd:string" name="fipsCode" form="unqualified"/>
                  <xsd:element minOccurs="0" nillable="true" type="xsd:string" name="continent" form="unqualified"/>
                  <xsd:element minOccurs="0" nillable="true" type="xsd:string" name="continentName" form="unqualified"/>
                  <xsd:element minOccurs="0" nillable="true" type="xsd:string" name="capital" form="unqualified"/>
                  <xsd:element minOccurs="0" nillable="true" type="xsd:double" name="areaInSqKm" form="unqualified"/>
                  <xsd:element minOccurs="0" nillable="true" type="xsd:integer" name="population" form="unqualified"/>
                  <xsd:element minOccurs="0" nillable="true" type="xsd:string" name="currencyCode" form="unqualified"/>
                  <xsd:element minOccurs="0" nillable="true" type="xsd:string" name="languages" form="unqualified"/>
                  <xsd:element minOccurs="0" nillable="true" type="xsd:integer" name="geonameId" form="unqualified"/>
                  <xsd:element minOccurs="0" nillable="true" type="xsd:double" name="west" form="unqualified"/>
                  <xsd:element minOccurs="0" nillable="true" type="xsd:double" name="north" form="unqualified"/>
                  <xsd:element minOccurs="0" nillable="true" type="xsd:double" name="east" form="unqualified"/>
                  <xsd:element minOccurs="0" nillable="true" type="xsd:double" name="south" form="unqualified"/>
                  <xsd:element minOccurs="0" nillable="true" type="xsd:string" name="postalCodeFormat" form="unqualified"/>
                </xsd:sequence>
              </xsd:complexType>
            </xsd:element>
          </xsd:sequence>
        </xsd:complexType>
      </xsd:element>
    </xsd:schema>
  </Schema>
  <Schema ID="Schema2">
    <xsd:schema xmlns:xsd="http://www.w3.org/2001/XMLSchema" xmlns="">
      <xsd:element nillable="true" name="channel">
        <xsd:complexType>
          <xsd:sequence minOccurs="0">
            <xsd:element minOccurs="0" nillable="true" type="xsd:string" name="title" form="unqualified"/>
            <xsd:element minOccurs="0" nillable="true" type="xsd:anyURI" name="link" form="unqualified"/>
            <xsd:element minOccurs="0" nillable="true" type="xsd:anyURI" name="xmlLink" form="unqualified"/>
            <xsd:element minOccurs="0" nillable="true" type="xsd:string" name="description" form="unqualified"/>
            <xsd:element minOccurs="0" nillable="true" type="xsd:string" name="language" form="unqualified"/>
            <xsd:element minOccurs="0" nillable="true" type="xsd:string" name="baseCurrency" form="unqualified"/>
            <xsd:element minOccurs="0" nillable="true" type="xsd:string" name="pubDate" form="unqualified"/>
            <xsd:element minOccurs="0" nillable="true" type="xsd:string" name="lastBuildDate" form="unqualified"/>
            <xsd:element minOccurs="0" maxOccurs="unbounded" nillable="true" name="item" form="unqualified">
              <xsd:complexType>
                <xsd:sequence minOccurs="0">
                  <xsd:element minOccurs="0" nillable="true" type="xsd:string" name="title" form="unqualified"/>
                  <xsd:element minOccurs="0" nillable="true" type="xsd:anyURI" name="link" form="unqualified"/>
                  <xsd:element minOccurs="0" nillable="true" type="xsd:string" name="description" form="unqualified"/>
                  <xsd:element minOccurs="0" nillable="true" type="xsd:string" name="pubDate" form="unqualified"/>
                  <xsd:element minOccurs="0" nillable="true" type="xsd:string" name="baseCurrency" form="unqualified"/>
                  <xsd:element minOccurs="0" nillable="true" type="xsd:string" name="baseName" form="unqualified"/>
                  <xsd:element minOccurs="0" nillable="true" type="xsd:string" name="targetCurrency" form="unqualified"/>
                  <xsd:element minOccurs="0" nillable="true" type="xsd:string" name="targetName" form="unqualified"/>
                  <xsd:element minOccurs="0" nillable="true" type="xsd:string" name="exchangeRate" form="unqualified"/>
                </xsd:sequence>
              </xsd:complexType>
            </xsd:element>
          </xsd:sequence>
        </xsd:complexType>
      </xsd:element>
    </xsd:schema>
  </Schema>
  <Map ID="2" Name="channel_Map" RootElement="channel" SchemaID="Schema2" ShowImportExportValidationErrors="false" AutoFit="true" Append="false" PreserveSortAFLayout="true" PreserveFormat="true">
    <DataBinding FileBinding="true" ConnectionID="1" DataBindingLoadMode="1"/>
  </Map>
  <Map ID="1" Name="geonames_Map" RootElement="geonames" SchemaID="Schema1" ShowImportExportValidationErrors="false" AutoFit="true" Append="false" PreserveSortAFLayout="true" PreserveFormat="true"/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xmlMaps" Target="xmlMap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Drop" dropStyle="combo" dx="25" fmlaLink="$C$7" fmlaRange="Drivers!$B$5:$B$41" noThreeD="1" val="0"/>
</file>

<file path=xl/ctrlProps/ctrlProp2.xml><?xml version="1.0" encoding="utf-8"?>
<formControlPr xmlns="http://schemas.microsoft.com/office/spreadsheetml/2009/9/main" objectType="Drop" dropStyle="combo" dx="25" fmlaLink="$D$7" fmlaRange="Horses!$B$6:$B$42" noThreeD="1" sel="0" val="0"/>
</file>

<file path=xl/ctrlProps/ctrlProp3.xml><?xml version="1.0" encoding="utf-8"?>
<formControlPr xmlns="http://schemas.microsoft.com/office/spreadsheetml/2009/9/main" objectType="Drop" dropStyle="combo" dx="25" fmlaLink="$C$8" fmlaRange="Trailers!$C$7:$C$43" noThreeD="1" sel="3" val="0"/>
</file>

<file path=xl/ctrlProps/ctrlProp4.xml><?xml version="1.0" encoding="utf-8"?>
<formControlPr xmlns="http://schemas.microsoft.com/office/spreadsheetml/2009/9/main" objectType="Drop" dropStyle="combo" dx="25" fmlaLink="$C$9" fmlaRange="Trailers!$C$7:$C$43" noThreeD="1" val="0"/>
</file>

<file path=xl/ctrlProps/ctrlProp5.xml><?xml version="1.0" encoding="utf-8"?>
<formControlPr xmlns="http://schemas.microsoft.com/office/spreadsheetml/2009/9/main" objectType="Drop" dropStyle="combo" dx="25" fmlaLink="$B$6" fmlaRange="Drivers!$B$5:$B$41" noThreeD="1" sel="4" val="0"/>
</file>

<file path=xl/ctrlProps/ctrlProp6.xml><?xml version="1.0" encoding="utf-8"?>
<formControlPr xmlns="http://schemas.microsoft.com/office/spreadsheetml/2009/9/main" objectType="Drop" dropStyle="combo" dx="25" fmlaLink="$B$12" fmlaRange="Horses!$B$6:$B$42" noThreeD="1" sel="2" val="0"/>
</file>

<file path=xl/ctrlProps/ctrlProp7.xml><?xml version="1.0" encoding="utf-8"?>
<formControlPr xmlns="http://schemas.microsoft.com/office/spreadsheetml/2009/9/main" objectType="Drop" dropStyle="combo" dx="25" fmlaLink="$J$5" fmlaRange="Drivers!$B$5:$B$41" noThreeD="1" val="0"/>
</file>

<file path=xl/ctrlProps/ctrlProp8.xml><?xml version="1.0" encoding="utf-8"?>
<formControlPr xmlns="http://schemas.microsoft.com/office/spreadsheetml/2009/9/main" objectType="Drop" dropStyle="combo" dx="25" fmlaLink="$J$17" fmlaRange="Horses!$B$6:$B$42" noThreeD="1" sel="4" val="3"/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50" Type="http://schemas.openxmlformats.org/officeDocument/2006/relationships/image" Target="../media/image50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5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40</xdr:col>
      <xdr:colOff>158750</xdr:colOff>
      <xdr:row>6</xdr:row>
      <xdr:rowOff>19050</xdr:rowOff>
    </xdr:from>
    <xdr:to>
      <xdr:col>44</xdr:col>
      <xdr:colOff>153670</xdr:colOff>
      <xdr:row>7</xdr:row>
      <xdr:rowOff>34798</xdr:rowOff>
    </xdr:to>
    <xdr:sp macro="[0]!Add_Range" textlink="">
      <xdr:nvSpPr>
        <xdr:cNvPr id="7" name="Rectangle 6"/>
        <xdr:cNvSpPr/>
      </xdr:nvSpPr>
      <xdr:spPr>
        <a:xfrm>
          <a:off x="7150100" y="971550"/>
          <a:ext cx="731520" cy="155448"/>
        </a:xfrm>
        <a:prstGeom prst="rect">
          <a:avLst/>
        </a:prstGeom>
        <a:solidFill>
          <a:schemeClr val="bg1"/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ZA" sz="800" u="sng">
              <a:solidFill>
                <a:srgbClr val="C00000"/>
              </a:solidFill>
              <a:latin typeface="Encode Sans Condensed" panose="00000506000000000000" pitchFamily="2" charset="0"/>
            </a:rPr>
            <a:t>+ Add</a:t>
          </a:r>
          <a:r>
            <a:rPr lang="en-ZA" sz="800" u="sng" baseline="0">
              <a:solidFill>
                <a:srgbClr val="C00000"/>
              </a:solidFill>
              <a:latin typeface="Encode Sans Condensed" panose="00000506000000000000" pitchFamily="2" charset="0"/>
            </a:rPr>
            <a:t> Point</a:t>
          </a:r>
          <a:endParaRPr lang="en-ZA" sz="800" u="sng">
            <a:solidFill>
              <a:srgbClr val="C00000"/>
            </a:solidFill>
            <a:latin typeface="Encode Sans Condensed" panose="00000506000000000000" pitchFamily="2" charset="0"/>
          </a:endParaRPr>
        </a:p>
      </xdr:txBody>
    </xdr:sp>
    <xdr:clientData fPrintsWithSheet="0"/>
  </xdr:twoCellAnchor>
  <xdr:twoCellAnchor>
    <xdr:from>
      <xdr:col>45</xdr:col>
      <xdr:colOff>0</xdr:colOff>
      <xdr:row>3</xdr:row>
      <xdr:rowOff>0</xdr:rowOff>
    </xdr:from>
    <xdr:to>
      <xdr:col>45</xdr:col>
      <xdr:colOff>182880</xdr:colOff>
      <xdr:row>3</xdr:row>
      <xdr:rowOff>152400</xdr:rowOff>
    </xdr:to>
    <xdr:sp macro="[0]!Add_Remove_Row" textlink="">
      <xdr:nvSpPr>
        <xdr:cNvPr id="5" name="Rectangle 4"/>
        <xdr:cNvSpPr/>
      </xdr:nvSpPr>
      <xdr:spPr>
        <a:xfrm>
          <a:off x="7912100" y="476250"/>
          <a:ext cx="182880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46</xdr:col>
      <xdr:colOff>0</xdr:colOff>
      <xdr:row>3</xdr:row>
      <xdr:rowOff>0</xdr:rowOff>
    </xdr:from>
    <xdr:to>
      <xdr:col>46</xdr:col>
      <xdr:colOff>182880</xdr:colOff>
      <xdr:row>3</xdr:row>
      <xdr:rowOff>152400</xdr:rowOff>
    </xdr:to>
    <xdr:sp macro="[0]!Add_Remove_Row" textlink="">
      <xdr:nvSpPr>
        <xdr:cNvPr id="6" name="Rectangle 5"/>
        <xdr:cNvSpPr/>
      </xdr:nvSpPr>
      <xdr:spPr>
        <a:xfrm>
          <a:off x="8096250" y="476250"/>
          <a:ext cx="182880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19</xdr:col>
      <xdr:colOff>146050</xdr:colOff>
      <xdr:row>11</xdr:row>
      <xdr:rowOff>120650</xdr:rowOff>
    </xdr:from>
    <xdr:to>
      <xdr:col>26</xdr:col>
      <xdr:colOff>44450</xdr:colOff>
      <xdr:row>14</xdr:row>
      <xdr:rowOff>69850</xdr:rowOff>
    </xdr:to>
    <xdr:sp macro="" textlink="">
      <xdr:nvSpPr>
        <xdr:cNvPr id="8" name="popup10" hidden="1"/>
        <xdr:cNvSpPr/>
      </xdr:nvSpPr>
      <xdr:spPr>
        <a:xfrm>
          <a:off x="3270250" y="1828800"/>
          <a:ext cx="1187450" cy="425450"/>
        </a:xfrm>
        <a:prstGeom prst="wedgeRectCallout">
          <a:avLst>
            <a:gd name="adj1" fmla="val -55059"/>
            <a:gd name="adj2" fmla="val -28132"/>
          </a:avLst>
        </a:prstGeom>
        <a:solidFill>
          <a:srgbClr val="00B0F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900"/>
            <a:t>Enter</a:t>
          </a:r>
          <a:r>
            <a:rPr lang="en-ZA" sz="900" baseline="0"/>
            <a:t> the prices maually</a:t>
          </a:r>
          <a:endParaRPr lang="en-ZA" sz="900"/>
        </a:p>
      </xdr:txBody>
    </xdr:sp>
    <xdr:clientData/>
  </xdr:twoCellAnchor>
  <xdr:twoCellAnchor>
    <xdr:from>
      <xdr:col>25</xdr:col>
      <xdr:colOff>133348</xdr:colOff>
      <xdr:row>11</xdr:row>
      <xdr:rowOff>38102</xdr:rowOff>
    </xdr:from>
    <xdr:to>
      <xdr:col>26</xdr:col>
      <xdr:colOff>132078</xdr:colOff>
      <xdr:row>13</xdr:row>
      <xdr:rowOff>62232</xdr:rowOff>
    </xdr:to>
    <xdr:sp macro="[1]!closepopup" textlink="">
      <xdr:nvSpPr>
        <xdr:cNvPr id="9" name="close10" hidden="1"/>
        <xdr:cNvSpPr/>
      </xdr:nvSpPr>
      <xdr:spPr>
        <a:xfrm rot="2700000">
          <a:off x="4283073" y="1825627"/>
          <a:ext cx="34163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13</xdr:row>
      <xdr:rowOff>152402</xdr:rowOff>
    </xdr:from>
    <xdr:to>
      <xdr:col>17</xdr:col>
      <xdr:colOff>24128</xdr:colOff>
      <xdr:row>14</xdr:row>
      <xdr:rowOff>17782</xdr:rowOff>
    </xdr:to>
    <xdr:sp macro="[1]!closepopup" textlink="">
      <xdr:nvSpPr>
        <xdr:cNvPr id="10" name="close9" hidden="1"/>
        <xdr:cNvSpPr/>
      </xdr:nvSpPr>
      <xdr:spPr>
        <a:xfrm rot="2700000">
          <a:off x="2676523" y="2098677"/>
          <a:ext cx="2413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13</xdr:row>
      <xdr:rowOff>25400</xdr:rowOff>
    </xdr:from>
    <xdr:to>
      <xdr:col>20</xdr:col>
      <xdr:colOff>163830</xdr:colOff>
      <xdr:row>14</xdr:row>
      <xdr:rowOff>0</xdr:rowOff>
    </xdr:to>
    <xdr:sp macro="[1]!closepopup" textlink="">
      <xdr:nvSpPr>
        <xdr:cNvPr id="11" name="close11" hidden="1"/>
        <xdr:cNvSpPr/>
      </xdr:nvSpPr>
      <xdr:spPr>
        <a:xfrm rot="2700000">
          <a:off x="3314065" y="20262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14</xdr:row>
      <xdr:rowOff>0</xdr:rowOff>
    </xdr:from>
    <xdr:to>
      <xdr:col>20</xdr:col>
      <xdr:colOff>163830</xdr:colOff>
      <xdr:row>14</xdr:row>
      <xdr:rowOff>68580</xdr:rowOff>
    </xdr:to>
    <xdr:sp macro="[1]!closepopup" textlink="">
      <xdr:nvSpPr>
        <xdr:cNvPr id="12" name="close11" hidden="1"/>
        <xdr:cNvSpPr/>
      </xdr:nvSpPr>
      <xdr:spPr>
        <a:xfrm rot="2700000">
          <a:off x="3346450" y="2127250"/>
          <a:ext cx="685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14</xdr:row>
      <xdr:rowOff>0</xdr:rowOff>
    </xdr:from>
    <xdr:to>
      <xdr:col>20</xdr:col>
      <xdr:colOff>163830</xdr:colOff>
      <xdr:row>16</xdr:row>
      <xdr:rowOff>68580</xdr:rowOff>
    </xdr:to>
    <xdr:sp macro="[1]!closepopup" textlink="">
      <xdr:nvSpPr>
        <xdr:cNvPr id="13" name="close11" hidden="1"/>
        <xdr:cNvSpPr/>
      </xdr:nvSpPr>
      <xdr:spPr>
        <a:xfrm rot="2700000">
          <a:off x="3187700" y="2286000"/>
          <a:ext cx="3860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14</xdr:row>
      <xdr:rowOff>0</xdr:rowOff>
    </xdr:from>
    <xdr:to>
      <xdr:col>20</xdr:col>
      <xdr:colOff>163830</xdr:colOff>
      <xdr:row>14</xdr:row>
      <xdr:rowOff>68580</xdr:rowOff>
    </xdr:to>
    <xdr:sp macro="[1]!closepopup" textlink="">
      <xdr:nvSpPr>
        <xdr:cNvPr id="14" name="close11" hidden="1"/>
        <xdr:cNvSpPr/>
      </xdr:nvSpPr>
      <xdr:spPr>
        <a:xfrm rot="2700000">
          <a:off x="3346450" y="2127250"/>
          <a:ext cx="685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45</xdr:col>
      <xdr:colOff>0</xdr:colOff>
      <xdr:row>13</xdr:row>
      <xdr:rowOff>0</xdr:rowOff>
    </xdr:from>
    <xdr:to>
      <xdr:col>45</xdr:col>
      <xdr:colOff>182880</xdr:colOff>
      <xdr:row>13</xdr:row>
      <xdr:rowOff>152400</xdr:rowOff>
    </xdr:to>
    <xdr:sp macro="[0]!AddLineItem" textlink="">
      <xdr:nvSpPr>
        <xdr:cNvPr id="15" name="Rectangle 14"/>
        <xdr:cNvSpPr/>
      </xdr:nvSpPr>
      <xdr:spPr>
        <a:xfrm>
          <a:off x="7912100" y="2025650"/>
          <a:ext cx="182880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45</xdr:col>
      <xdr:colOff>0</xdr:colOff>
      <xdr:row>11</xdr:row>
      <xdr:rowOff>0</xdr:rowOff>
    </xdr:from>
    <xdr:to>
      <xdr:col>45</xdr:col>
      <xdr:colOff>182880</xdr:colOff>
      <xdr:row>11</xdr:row>
      <xdr:rowOff>152400</xdr:rowOff>
    </xdr:to>
    <xdr:sp macro="[0]!AddBillingCategory" textlink="">
      <xdr:nvSpPr>
        <xdr:cNvPr id="16" name="Rectangle 15"/>
        <xdr:cNvSpPr/>
      </xdr:nvSpPr>
      <xdr:spPr>
        <a:xfrm>
          <a:off x="7912100" y="1708150"/>
          <a:ext cx="182880" cy="152400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45</xdr:col>
      <xdr:colOff>0</xdr:colOff>
      <xdr:row>10</xdr:row>
      <xdr:rowOff>0</xdr:rowOff>
    </xdr:from>
    <xdr:to>
      <xdr:col>45</xdr:col>
      <xdr:colOff>182880</xdr:colOff>
      <xdr:row>10</xdr:row>
      <xdr:rowOff>152400</xdr:rowOff>
    </xdr:to>
    <xdr:sp macro="[0]!AddNewPoint" textlink="">
      <xdr:nvSpPr>
        <xdr:cNvPr id="17" name="Rectangle 16"/>
        <xdr:cNvSpPr/>
      </xdr:nvSpPr>
      <xdr:spPr>
        <a:xfrm>
          <a:off x="7912100" y="1549400"/>
          <a:ext cx="182880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46</xdr:col>
      <xdr:colOff>0</xdr:colOff>
      <xdr:row>10</xdr:row>
      <xdr:rowOff>0</xdr:rowOff>
    </xdr:from>
    <xdr:to>
      <xdr:col>46</xdr:col>
      <xdr:colOff>182880</xdr:colOff>
      <xdr:row>10</xdr:row>
      <xdr:rowOff>152400</xdr:rowOff>
    </xdr:to>
    <xdr:sp macro="[0]!DeletePoint" textlink="">
      <xdr:nvSpPr>
        <xdr:cNvPr id="18" name="Rectangle 17"/>
        <xdr:cNvSpPr/>
      </xdr:nvSpPr>
      <xdr:spPr>
        <a:xfrm>
          <a:off x="8096250" y="1549400"/>
          <a:ext cx="182880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46</xdr:col>
      <xdr:colOff>0</xdr:colOff>
      <xdr:row>11</xdr:row>
      <xdr:rowOff>0</xdr:rowOff>
    </xdr:from>
    <xdr:to>
      <xdr:col>46</xdr:col>
      <xdr:colOff>182880</xdr:colOff>
      <xdr:row>11</xdr:row>
      <xdr:rowOff>152400</xdr:rowOff>
    </xdr:to>
    <xdr:sp macro="[0]!DeleteCategory" textlink="">
      <xdr:nvSpPr>
        <xdr:cNvPr id="19" name="Rectangle 18"/>
        <xdr:cNvSpPr/>
      </xdr:nvSpPr>
      <xdr:spPr>
        <a:xfrm>
          <a:off x="8096250" y="1708150"/>
          <a:ext cx="182880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46</xdr:col>
      <xdr:colOff>0</xdr:colOff>
      <xdr:row>13</xdr:row>
      <xdr:rowOff>0</xdr:rowOff>
    </xdr:from>
    <xdr:to>
      <xdr:col>46</xdr:col>
      <xdr:colOff>182880</xdr:colOff>
      <xdr:row>13</xdr:row>
      <xdr:rowOff>152400</xdr:rowOff>
    </xdr:to>
    <xdr:sp macro="[0]!AddLineItem" textlink="">
      <xdr:nvSpPr>
        <xdr:cNvPr id="20" name="Rectangle 19"/>
        <xdr:cNvSpPr/>
      </xdr:nvSpPr>
      <xdr:spPr>
        <a:xfrm>
          <a:off x="8096250" y="2025650"/>
          <a:ext cx="182880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0</xdr:colOff>
          <xdr:row>6</xdr:row>
          <xdr:rowOff>0</xdr:rowOff>
        </xdr:from>
        <xdr:to>
          <xdr:col>32</xdr:col>
          <xdr:colOff>0</xdr:colOff>
          <xdr:row>7</xdr:row>
          <xdr:rowOff>0</xdr:rowOff>
        </xdr:to>
        <xdr:sp macro="" textlink="">
          <xdr:nvSpPr>
            <xdr:cNvPr id="13313" name="Drop Dow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0</xdr:colOff>
          <xdr:row>6</xdr:row>
          <xdr:rowOff>0</xdr:rowOff>
        </xdr:from>
        <xdr:to>
          <xdr:col>45</xdr:col>
          <xdr:colOff>0</xdr:colOff>
          <xdr:row>7</xdr:row>
          <xdr:rowOff>0</xdr:rowOff>
        </xdr:to>
        <xdr:sp macro="" textlink="">
          <xdr:nvSpPr>
            <xdr:cNvPr id="13314" name="Drop Dow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0</xdr:colOff>
          <xdr:row>7</xdr:row>
          <xdr:rowOff>0</xdr:rowOff>
        </xdr:from>
        <xdr:to>
          <xdr:col>45</xdr:col>
          <xdr:colOff>0</xdr:colOff>
          <xdr:row>8</xdr:row>
          <xdr:rowOff>0</xdr:rowOff>
        </xdr:to>
        <xdr:sp macro="" textlink="">
          <xdr:nvSpPr>
            <xdr:cNvPr id="13315" name="Drop Dow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0</xdr:colOff>
          <xdr:row>8</xdr:row>
          <xdr:rowOff>0</xdr:rowOff>
        </xdr:from>
        <xdr:to>
          <xdr:col>45</xdr:col>
          <xdr:colOff>0</xdr:colOff>
          <xdr:row>9</xdr:row>
          <xdr:rowOff>0</xdr:rowOff>
        </xdr:to>
        <xdr:sp macro="" textlink="">
          <xdr:nvSpPr>
            <xdr:cNvPr id="13316" name="Drop Down 4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45</xdr:col>
      <xdr:colOff>0</xdr:colOff>
      <xdr:row>11</xdr:row>
      <xdr:rowOff>0</xdr:rowOff>
    </xdr:from>
    <xdr:to>
      <xdr:col>45</xdr:col>
      <xdr:colOff>182880</xdr:colOff>
      <xdr:row>11</xdr:row>
      <xdr:rowOff>152400</xdr:rowOff>
    </xdr:to>
    <xdr:sp macro="[0]!AddNewPoint" textlink="">
      <xdr:nvSpPr>
        <xdr:cNvPr id="8" name="Rectangle 7"/>
        <xdr:cNvSpPr/>
      </xdr:nvSpPr>
      <xdr:spPr>
        <a:xfrm>
          <a:off x="9518650" y="2082800"/>
          <a:ext cx="182880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46</xdr:col>
      <xdr:colOff>0</xdr:colOff>
      <xdr:row>11</xdr:row>
      <xdr:rowOff>0</xdr:rowOff>
    </xdr:from>
    <xdr:to>
      <xdr:col>46</xdr:col>
      <xdr:colOff>182880</xdr:colOff>
      <xdr:row>11</xdr:row>
      <xdr:rowOff>152400</xdr:rowOff>
    </xdr:to>
    <xdr:sp macro="[0]!DeletePoint" textlink="">
      <xdr:nvSpPr>
        <xdr:cNvPr id="9" name="Rectangle 8"/>
        <xdr:cNvSpPr/>
      </xdr:nvSpPr>
      <xdr:spPr>
        <a:xfrm>
          <a:off x="9702800" y="2082800"/>
          <a:ext cx="182880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45</xdr:col>
      <xdr:colOff>0</xdr:colOff>
      <xdr:row>12</xdr:row>
      <xdr:rowOff>0</xdr:rowOff>
    </xdr:from>
    <xdr:to>
      <xdr:col>45</xdr:col>
      <xdr:colOff>182880</xdr:colOff>
      <xdr:row>12</xdr:row>
      <xdr:rowOff>152400</xdr:rowOff>
    </xdr:to>
    <xdr:sp macro="[0]!AddBillingCategory" textlink="">
      <xdr:nvSpPr>
        <xdr:cNvPr id="482" name="Rectangle 481"/>
        <xdr:cNvSpPr/>
      </xdr:nvSpPr>
      <xdr:spPr>
        <a:xfrm>
          <a:off x="7912100" y="1708150"/>
          <a:ext cx="182880" cy="152400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46</xdr:col>
      <xdr:colOff>0</xdr:colOff>
      <xdr:row>12</xdr:row>
      <xdr:rowOff>0</xdr:rowOff>
    </xdr:from>
    <xdr:to>
      <xdr:col>46</xdr:col>
      <xdr:colOff>182880</xdr:colOff>
      <xdr:row>12</xdr:row>
      <xdr:rowOff>152400</xdr:rowOff>
    </xdr:to>
    <xdr:sp macro="[0]!DeleteCategory" textlink="">
      <xdr:nvSpPr>
        <xdr:cNvPr id="483" name="Rectangle 482"/>
        <xdr:cNvSpPr/>
      </xdr:nvSpPr>
      <xdr:spPr>
        <a:xfrm>
          <a:off x="8096250" y="1708150"/>
          <a:ext cx="182880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45</xdr:col>
      <xdr:colOff>0</xdr:colOff>
      <xdr:row>14</xdr:row>
      <xdr:rowOff>0</xdr:rowOff>
    </xdr:from>
    <xdr:to>
      <xdr:col>45</xdr:col>
      <xdr:colOff>182880</xdr:colOff>
      <xdr:row>14</xdr:row>
      <xdr:rowOff>152400</xdr:rowOff>
    </xdr:to>
    <xdr:sp macro="[0]!AddLineItem" textlink="">
      <xdr:nvSpPr>
        <xdr:cNvPr id="508" name="Rectangle 507"/>
        <xdr:cNvSpPr/>
      </xdr:nvSpPr>
      <xdr:spPr>
        <a:xfrm>
          <a:off x="9518650" y="2559050"/>
          <a:ext cx="182880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46</xdr:col>
      <xdr:colOff>0</xdr:colOff>
      <xdr:row>14</xdr:row>
      <xdr:rowOff>0</xdr:rowOff>
    </xdr:from>
    <xdr:to>
      <xdr:col>46</xdr:col>
      <xdr:colOff>182880</xdr:colOff>
      <xdr:row>14</xdr:row>
      <xdr:rowOff>152400</xdr:rowOff>
    </xdr:to>
    <xdr:sp macro="[0]!AddLineItem" textlink="">
      <xdr:nvSpPr>
        <xdr:cNvPr id="509" name="Rectangle 508"/>
        <xdr:cNvSpPr/>
      </xdr:nvSpPr>
      <xdr:spPr>
        <a:xfrm>
          <a:off x="9702800" y="2559050"/>
          <a:ext cx="182880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16</xdr:col>
      <xdr:colOff>25398</xdr:colOff>
      <xdr:row>14</xdr:row>
      <xdr:rowOff>152402</xdr:rowOff>
    </xdr:from>
    <xdr:to>
      <xdr:col>17</xdr:col>
      <xdr:colOff>24128</xdr:colOff>
      <xdr:row>15</xdr:row>
      <xdr:rowOff>0</xdr:rowOff>
    </xdr:to>
    <xdr:sp macro="[1]!closepopup" textlink="">
      <xdr:nvSpPr>
        <xdr:cNvPr id="152" name="close9" hidden="1"/>
        <xdr:cNvSpPr/>
      </xdr:nvSpPr>
      <xdr:spPr>
        <a:xfrm rot="2700000">
          <a:off x="2676523" y="2098677"/>
          <a:ext cx="2413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14</xdr:row>
      <xdr:rowOff>25400</xdr:rowOff>
    </xdr:from>
    <xdr:to>
      <xdr:col>20</xdr:col>
      <xdr:colOff>163830</xdr:colOff>
      <xdr:row>15</xdr:row>
      <xdr:rowOff>0</xdr:rowOff>
    </xdr:to>
    <xdr:sp macro="[1]!closepopup" textlink="">
      <xdr:nvSpPr>
        <xdr:cNvPr id="153" name="close11" hidden="1"/>
        <xdr:cNvSpPr/>
      </xdr:nvSpPr>
      <xdr:spPr>
        <a:xfrm rot="2700000">
          <a:off x="3314065" y="20262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15</xdr:row>
      <xdr:rowOff>0</xdr:rowOff>
    </xdr:to>
    <xdr:sp macro="[1]!closepopup" textlink="">
      <xdr:nvSpPr>
        <xdr:cNvPr id="154" name="close11" hidden="1"/>
        <xdr:cNvSpPr/>
      </xdr:nvSpPr>
      <xdr:spPr>
        <a:xfrm rot="2700000">
          <a:off x="3346450" y="2127250"/>
          <a:ext cx="685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15</xdr:row>
      <xdr:rowOff>0</xdr:rowOff>
    </xdr:to>
    <xdr:sp macro="[1]!closepopup" textlink="">
      <xdr:nvSpPr>
        <xdr:cNvPr id="155" name="close11" hidden="1"/>
        <xdr:cNvSpPr/>
      </xdr:nvSpPr>
      <xdr:spPr>
        <a:xfrm rot="2700000">
          <a:off x="3346450" y="2127250"/>
          <a:ext cx="685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15</xdr:row>
      <xdr:rowOff>0</xdr:rowOff>
    </xdr:from>
    <xdr:to>
      <xdr:col>17</xdr:col>
      <xdr:colOff>24128</xdr:colOff>
      <xdr:row>15</xdr:row>
      <xdr:rowOff>0</xdr:rowOff>
    </xdr:to>
    <xdr:sp macro="[1]!closepopup" textlink="">
      <xdr:nvSpPr>
        <xdr:cNvPr id="158" name="close9" hidden="1"/>
        <xdr:cNvSpPr/>
      </xdr:nvSpPr>
      <xdr:spPr>
        <a:xfrm rot="2700000">
          <a:off x="4291964" y="2623186"/>
          <a:ext cx="6348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15</xdr:row>
      <xdr:rowOff>0</xdr:rowOff>
    </xdr:to>
    <xdr:sp macro="[1]!closepopup" textlink="">
      <xdr:nvSpPr>
        <xdr:cNvPr id="159" name="close11" hidden="1"/>
        <xdr:cNvSpPr/>
      </xdr:nvSpPr>
      <xdr:spPr>
        <a:xfrm rot="2700000">
          <a:off x="4920615" y="25596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146050</xdr:colOff>
      <xdr:row>19</xdr:row>
      <xdr:rowOff>120650</xdr:rowOff>
    </xdr:from>
    <xdr:to>
      <xdr:col>26</xdr:col>
      <xdr:colOff>44450</xdr:colOff>
      <xdr:row>22</xdr:row>
      <xdr:rowOff>69850</xdr:rowOff>
    </xdr:to>
    <xdr:sp macro="" textlink="">
      <xdr:nvSpPr>
        <xdr:cNvPr id="173" name="popup10" hidden="1"/>
        <xdr:cNvSpPr/>
      </xdr:nvSpPr>
      <xdr:spPr>
        <a:xfrm>
          <a:off x="3270250" y="1828800"/>
          <a:ext cx="1187450" cy="425450"/>
        </a:xfrm>
        <a:prstGeom prst="wedgeRectCallout">
          <a:avLst>
            <a:gd name="adj1" fmla="val -55059"/>
            <a:gd name="adj2" fmla="val -28132"/>
          </a:avLst>
        </a:prstGeom>
        <a:solidFill>
          <a:srgbClr val="00B0F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900"/>
            <a:t>Enter</a:t>
          </a:r>
          <a:r>
            <a:rPr lang="en-ZA" sz="900" baseline="0"/>
            <a:t> the prices maually</a:t>
          </a:r>
          <a:endParaRPr lang="en-ZA" sz="900"/>
        </a:p>
      </xdr:txBody>
    </xdr:sp>
    <xdr:clientData/>
  </xdr:twoCellAnchor>
  <xdr:twoCellAnchor>
    <xdr:from>
      <xdr:col>25</xdr:col>
      <xdr:colOff>133348</xdr:colOff>
      <xdr:row>19</xdr:row>
      <xdr:rowOff>38102</xdr:rowOff>
    </xdr:from>
    <xdr:to>
      <xdr:col>26</xdr:col>
      <xdr:colOff>132078</xdr:colOff>
      <xdr:row>21</xdr:row>
      <xdr:rowOff>62232</xdr:rowOff>
    </xdr:to>
    <xdr:sp macro="[1]!closepopup" textlink="">
      <xdr:nvSpPr>
        <xdr:cNvPr id="174" name="close10" hidden="1"/>
        <xdr:cNvSpPr/>
      </xdr:nvSpPr>
      <xdr:spPr>
        <a:xfrm rot="2700000">
          <a:off x="4283073" y="1825627"/>
          <a:ext cx="34163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21</xdr:row>
      <xdr:rowOff>152402</xdr:rowOff>
    </xdr:from>
    <xdr:to>
      <xdr:col>17</xdr:col>
      <xdr:colOff>24128</xdr:colOff>
      <xdr:row>22</xdr:row>
      <xdr:rowOff>17782</xdr:rowOff>
    </xdr:to>
    <xdr:sp macro="[1]!closepopup" textlink="">
      <xdr:nvSpPr>
        <xdr:cNvPr id="175" name="close9" hidden="1"/>
        <xdr:cNvSpPr/>
      </xdr:nvSpPr>
      <xdr:spPr>
        <a:xfrm rot="2700000">
          <a:off x="2676523" y="2098677"/>
          <a:ext cx="2413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21</xdr:row>
      <xdr:rowOff>25400</xdr:rowOff>
    </xdr:from>
    <xdr:to>
      <xdr:col>20</xdr:col>
      <xdr:colOff>163830</xdr:colOff>
      <xdr:row>22</xdr:row>
      <xdr:rowOff>0</xdr:rowOff>
    </xdr:to>
    <xdr:sp macro="[1]!closepopup" textlink="">
      <xdr:nvSpPr>
        <xdr:cNvPr id="176" name="close11" hidden="1"/>
        <xdr:cNvSpPr/>
      </xdr:nvSpPr>
      <xdr:spPr>
        <a:xfrm rot="2700000">
          <a:off x="3314065" y="20262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22</xdr:row>
      <xdr:rowOff>0</xdr:rowOff>
    </xdr:from>
    <xdr:to>
      <xdr:col>20</xdr:col>
      <xdr:colOff>163830</xdr:colOff>
      <xdr:row>22</xdr:row>
      <xdr:rowOff>68580</xdr:rowOff>
    </xdr:to>
    <xdr:sp macro="[1]!closepopup" textlink="">
      <xdr:nvSpPr>
        <xdr:cNvPr id="177" name="close11" hidden="1"/>
        <xdr:cNvSpPr/>
      </xdr:nvSpPr>
      <xdr:spPr>
        <a:xfrm rot="2700000">
          <a:off x="3346450" y="2127250"/>
          <a:ext cx="685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22</xdr:row>
      <xdr:rowOff>0</xdr:rowOff>
    </xdr:from>
    <xdr:to>
      <xdr:col>20</xdr:col>
      <xdr:colOff>163830</xdr:colOff>
      <xdr:row>24</xdr:row>
      <xdr:rowOff>68580</xdr:rowOff>
    </xdr:to>
    <xdr:sp macro="[1]!closepopup" textlink="">
      <xdr:nvSpPr>
        <xdr:cNvPr id="178" name="close11" hidden="1"/>
        <xdr:cNvSpPr/>
      </xdr:nvSpPr>
      <xdr:spPr>
        <a:xfrm rot="2700000">
          <a:off x="3187700" y="2286000"/>
          <a:ext cx="3860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22</xdr:row>
      <xdr:rowOff>0</xdr:rowOff>
    </xdr:from>
    <xdr:to>
      <xdr:col>20</xdr:col>
      <xdr:colOff>163830</xdr:colOff>
      <xdr:row>22</xdr:row>
      <xdr:rowOff>68580</xdr:rowOff>
    </xdr:to>
    <xdr:sp macro="[1]!closepopup" textlink="">
      <xdr:nvSpPr>
        <xdr:cNvPr id="179" name="close11" hidden="1"/>
        <xdr:cNvSpPr/>
      </xdr:nvSpPr>
      <xdr:spPr>
        <a:xfrm rot="2700000">
          <a:off x="3346450" y="2127250"/>
          <a:ext cx="685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45</xdr:col>
      <xdr:colOff>0</xdr:colOff>
      <xdr:row>21</xdr:row>
      <xdr:rowOff>0</xdr:rowOff>
    </xdr:from>
    <xdr:to>
      <xdr:col>45</xdr:col>
      <xdr:colOff>182880</xdr:colOff>
      <xdr:row>21</xdr:row>
      <xdr:rowOff>152400</xdr:rowOff>
    </xdr:to>
    <xdr:sp macro="[0]!AddLineItem" textlink="">
      <xdr:nvSpPr>
        <xdr:cNvPr id="180" name="Rectangle 179"/>
        <xdr:cNvSpPr/>
      </xdr:nvSpPr>
      <xdr:spPr>
        <a:xfrm>
          <a:off x="7912100" y="2025650"/>
          <a:ext cx="182880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45</xdr:col>
      <xdr:colOff>0</xdr:colOff>
      <xdr:row>19</xdr:row>
      <xdr:rowOff>0</xdr:rowOff>
    </xdr:from>
    <xdr:to>
      <xdr:col>45</xdr:col>
      <xdr:colOff>182880</xdr:colOff>
      <xdr:row>19</xdr:row>
      <xdr:rowOff>152400</xdr:rowOff>
    </xdr:to>
    <xdr:sp macro="[0]!AddBillingCategory" textlink="">
      <xdr:nvSpPr>
        <xdr:cNvPr id="181" name="Rectangle 180"/>
        <xdr:cNvSpPr/>
      </xdr:nvSpPr>
      <xdr:spPr>
        <a:xfrm>
          <a:off x="7912100" y="1708150"/>
          <a:ext cx="182880" cy="152400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45</xdr:col>
      <xdr:colOff>0</xdr:colOff>
      <xdr:row>18</xdr:row>
      <xdr:rowOff>0</xdr:rowOff>
    </xdr:from>
    <xdr:to>
      <xdr:col>45</xdr:col>
      <xdr:colOff>182880</xdr:colOff>
      <xdr:row>18</xdr:row>
      <xdr:rowOff>152400</xdr:rowOff>
    </xdr:to>
    <xdr:sp macro="[0]!AddNewPoint" textlink="">
      <xdr:nvSpPr>
        <xdr:cNvPr id="182" name="Rectangle 181"/>
        <xdr:cNvSpPr/>
      </xdr:nvSpPr>
      <xdr:spPr>
        <a:xfrm>
          <a:off x="7912100" y="1549400"/>
          <a:ext cx="182880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46</xdr:col>
      <xdr:colOff>0</xdr:colOff>
      <xdr:row>18</xdr:row>
      <xdr:rowOff>0</xdr:rowOff>
    </xdr:from>
    <xdr:to>
      <xdr:col>46</xdr:col>
      <xdr:colOff>182880</xdr:colOff>
      <xdr:row>18</xdr:row>
      <xdr:rowOff>152400</xdr:rowOff>
    </xdr:to>
    <xdr:sp macro="[0]!DeletePoint" textlink="">
      <xdr:nvSpPr>
        <xdr:cNvPr id="183" name="Rectangle 182"/>
        <xdr:cNvSpPr/>
      </xdr:nvSpPr>
      <xdr:spPr>
        <a:xfrm>
          <a:off x="8096250" y="1549400"/>
          <a:ext cx="182880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46</xdr:col>
      <xdr:colOff>0</xdr:colOff>
      <xdr:row>19</xdr:row>
      <xdr:rowOff>0</xdr:rowOff>
    </xdr:from>
    <xdr:to>
      <xdr:col>46</xdr:col>
      <xdr:colOff>182880</xdr:colOff>
      <xdr:row>19</xdr:row>
      <xdr:rowOff>152400</xdr:rowOff>
    </xdr:to>
    <xdr:sp macro="[0]!DeleteCategory" textlink="">
      <xdr:nvSpPr>
        <xdr:cNvPr id="184" name="Rectangle 183"/>
        <xdr:cNvSpPr/>
      </xdr:nvSpPr>
      <xdr:spPr>
        <a:xfrm>
          <a:off x="8096250" y="1708150"/>
          <a:ext cx="182880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46</xdr:col>
      <xdr:colOff>0</xdr:colOff>
      <xdr:row>21</xdr:row>
      <xdr:rowOff>0</xdr:rowOff>
    </xdr:from>
    <xdr:to>
      <xdr:col>46</xdr:col>
      <xdr:colOff>182880</xdr:colOff>
      <xdr:row>21</xdr:row>
      <xdr:rowOff>152400</xdr:rowOff>
    </xdr:to>
    <xdr:sp macro="[0]!AddLineItem" textlink="">
      <xdr:nvSpPr>
        <xdr:cNvPr id="185" name="Rectangle 184"/>
        <xdr:cNvSpPr/>
      </xdr:nvSpPr>
      <xdr:spPr>
        <a:xfrm>
          <a:off x="8096250" y="2025650"/>
          <a:ext cx="182880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</xdr:col>
      <xdr:colOff>222250</xdr:colOff>
      <xdr:row>1</xdr:row>
      <xdr:rowOff>146050</xdr:rowOff>
    </xdr:to>
    <xdr:pic>
      <xdr:nvPicPr>
        <xdr:cNvPr id="2" name="Picture 1" descr="https://upload.wikimedia.org/wikipedia/commons/thumb/9/9d/Flag_of_Angola.svg/23px-Flag_of_Angola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905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</xdr:row>
      <xdr:rowOff>0</xdr:rowOff>
    </xdr:from>
    <xdr:to>
      <xdr:col>1</xdr:col>
      <xdr:colOff>222250</xdr:colOff>
      <xdr:row>2</xdr:row>
      <xdr:rowOff>133350</xdr:rowOff>
    </xdr:to>
    <xdr:pic>
      <xdr:nvPicPr>
        <xdr:cNvPr id="3" name="Picture 2" descr="https://upload.wikimedia.org/wikipedia/commons/thumb/5/50/Flag_of_Burundi.svg/23px-Flag_of_Burundi.svg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81000"/>
          <a:ext cx="222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</xdr:row>
      <xdr:rowOff>0</xdr:rowOff>
    </xdr:from>
    <xdr:to>
      <xdr:col>1</xdr:col>
      <xdr:colOff>222250</xdr:colOff>
      <xdr:row>3</xdr:row>
      <xdr:rowOff>146050</xdr:rowOff>
    </xdr:to>
    <xdr:pic>
      <xdr:nvPicPr>
        <xdr:cNvPr id="4" name="Picture 3" descr="https://upload.wikimedia.org/wikipedia/commons/thumb/f/fa/Flag_of_Botswana.svg/23px-Flag_of_Botswana.svg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7556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</xdr:row>
      <xdr:rowOff>0</xdr:rowOff>
    </xdr:from>
    <xdr:to>
      <xdr:col>1</xdr:col>
      <xdr:colOff>190500</xdr:colOff>
      <xdr:row>4</xdr:row>
      <xdr:rowOff>146050</xdr:rowOff>
    </xdr:to>
    <xdr:pic>
      <xdr:nvPicPr>
        <xdr:cNvPr id="5" name="Picture 4" descr="https://upload.wikimedia.org/wikipedia/commons/thumb/6/6f/Flag_of_the_Democratic_Republic_of_the_Congo.svg/20px-Flag_of_the_Democratic_Republic_of_the_Congo.svg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130300"/>
          <a:ext cx="19050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</xdr:row>
      <xdr:rowOff>0</xdr:rowOff>
    </xdr:from>
    <xdr:to>
      <xdr:col>1</xdr:col>
      <xdr:colOff>222250</xdr:colOff>
      <xdr:row>5</xdr:row>
      <xdr:rowOff>133350</xdr:rowOff>
    </xdr:to>
    <xdr:pic>
      <xdr:nvPicPr>
        <xdr:cNvPr id="6" name="Picture 5" descr="https://upload.wikimedia.org/wikipedia/commons/thumb/3/38/Flag_of_Cape_Verde.svg/23px-Flag_of_Cape_Verde.svg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057400"/>
          <a:ext cx="222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</xdr:row>
      <xdr:rowOff>0</xdr:rowOff>
    </xdr:from>
    <xdr:to>
      <xdr:col>1</xdr:col>
      <xdr:colOff>222250</xdr:colOff>
      <xdr:row>6</xdr:row>
      <xdr:rowOff>146050</xdr:rowOff>
    </xdr:to>
    <xdr:pic>
      <xdr:nvPicPr>
        <xdr:cNvPr id="7" name="Picture 6" descr="https://upload.wikimedia.org/wikipedia/commons/thumb/3/34/Flag_of_Djibouti.svg/23px-Flag_of_Djibouti.svg.png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6162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</xdr:row>
      <xdr:rowOff>0</xdr:rowOff>
    </xdr:from>
    <xdr:to>
      <xdr:col>1</xdr:col>
      <xdr:colOff>222250</xdr:colOff>
      <xdr:row>7</xdr:row>
      <xdr:rowOff>146050</xdr:rowOff>
    </xdr:to>
    <xdr:pic>
      <xdr:nvPicPr>
        <xdr:cNvPr id="8" name="Picture 7" descr="https://upload.wikimedia.org/wikipedia/commons/thumb/7/77/Flag_of_Algeria.svg/23px-Flag_of_Algeria.svg.png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9908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222250</xdr:colOff>
      <xdr:row>8</xdr:row>
      <xdr:rowOff>146050</xdr:rowOff>
    </xdr:to>
    <xdr:pic>
      <xdr:nvPicPr>
        <xdr:cNvPr id="9" name="Picture 8" descr="https://upload.wikimedia.org/wikipedia/commons/thumb/f/fe/Flag_of_Egypt.svg/23px-Flag_of_Egypt.svg.pn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3655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222250</xdr:colOff>
      <xdr:row>9</xdr:row>
      <xdr:rowOff>114300</xdr:rowOff>
    </xdr:to>
    <xdr:pic>
      <xdr:nvPicPr>
        <xdr:cNvPr id="10" name="Picture 9" descr="https://upload.wikimedia.org/wikipedia/commons/thumb/2/29/Flag_of_Eritrea.svg/23px-Flag_of_Eritrea.svg.pn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7401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222250</xdr:colOff>
      <xdr:row>10</xdr:row>
      <xdr:rowOff>114300</xdr:rowOff>
    </xdr:to>
    <xdr:pic>
      <xdr:nvPicPr>
        <xdr:cNvPr id="11" name="Picture 10" descr="https://upload.wikimedia.org/wikipedia/commons/thumb/7/71/Flag_of_Ethiopia.svg/23px-Flag_of_Ethiopia.svg.pn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9306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222250</xdr:colOff>
      <xdr:row>11</xdr:row>
      <xdr:rowOff>146050</xdr:rowOff>
    </xdr:to>
    <xdr:pic>
      <xdr:nvPicPr>
        <xdr:cNvPr id="12" name="Picture 11" descr="https://upload.wikimedia.org/wikipedia/commons/thumb/1/19/Flag_of_Ghana.svg/23px-Flag_of_Ghana.svg.png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3053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12</xdr:row>
      <xdr:rowOff>0</xdr:rowOff>
    </xdr:from>
    <xdr:to>
      <xdr:col>1</xdr:col>
      <xdr:colOff>222250</xdr:colOff>
      <xdr:row>12</xdr:row>
      <xdr:rowOff>146050</xdr:rowOff>
    </xdr:to>
    <xdr:pic>
      <xdr:nvPicPr>
        <xdr:cNvPr id="13" name="Picture 12" descr="https://upload.wikimedia.org/wikipedia/commons/thumb/7/77/Flag_of_The_Gambia.svg/23px-Flag_of_The_Gambia.svg.png"/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6799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13</xdr:row>
      <xdr:rowOff>0</xdr:rowOff>
    </xdr:from>
    <xdr:to>
      <xdr:col>1</xdr:col>
      <xdr:colOff>222250</xdr:colOff>
      <xdr:row>13</xdr:row>
      <xdr:rowOff>146050</xdr:rowOff>
    </xdr:to>
    <xdr:pic>
      <xdr:nvPicPr>
        <xdr:cNvPr id="14" name="Picture 13" descr="https://upload.wikimedia.org/wikipedia/commons/thumb/e/ed/Flag_of_Guinea.svg/23px-Flag_of_Guinea.svg.png"/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8704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222250</xdr:colOff>
      <xdr:row>14</xdr:row>
      <xdr:rowOff>146050</xdr:rowOff>
    </xdr:to>
    <xdr:pic>
      <xdr:nvPicPr>
        <xdr:cNvPr id="15" name="Picture 14" descr="https://upload.wikimedia.org/wikipedia/commons/thumb/4/49/Flag_of_Kenya.svg/23px-Flag_of_Kenya.svg.png"/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2451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222250</xdr:colOff>
      <xdr:row>15</xdr:row>
      <xdr:rowOff>133350</xdr:rowOff>
    </xdr:to>
    <xdr:pic>
      <xdr:nvPicPr>
        <xdr:cNvPr id="16" name="Picture 15" descr="https://upload.wikimedia.org/wikipedia/commons/thumb/9/94/Flag_of_the_Comoros.svg/23px-Flag_of_the_Comoros.svg.png"/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619750"/>
          <a:ext cx="222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16</xdr:row>
      <xdr:rowOff>0</xdr:rowOff>
    </xdr:from>
    <xdr:to>
      <xdr:col>1</xdr:col>
      <xdr:colOff>222250</xdr:colOff>
      <xdr:row>16</xdr:row>
      <xdr:rowOff>114300</xdr:rowOff>
    </xdr:to>
    <xdr:pic>
      <xdr:nvPicPr>
        <xdr:cNvPr id="17" name="Picture 16" descr="https://upload.wikimedia.org/wikipedia/commons/thumb/b/b8/Flag_of_Liberia.svg/23px-Flag_of_Liberia.svg.png"/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9944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17</xdr:row>
      <xdr:rowOff>0</xdr:rowOff>
    </xdr:from>
    <xdr:to>
      <xdr:col>1</xdr:col>
      <xdr:colOff>222250</xdr:colOff>
      <xdr:row>17</xdr:row>
      <xdr:rowOff>146050</xdr:rowOff>
    </xdr:to>
    <xdr:pic>
      <xdr:nvPicPr>
        <xdr:cNvPr id="18" name="Picture 17" descr="https://upload.wikimedia.org/wikipedia/commons/thumb/4/4a/Flag_of_Lesotho.svg/23px-Flag_of_Lesotho.svg.png"/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3690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222250</xdr:colOff>
      <xdr:row>18</xdr:row>
      <xdr:rowOff>114300</xdr:rowOff>
    </xdr:to>
    <xdr:pic>
      <xdr:nvPicPr>
        <xdr:cNvPr id="19" name="Picture 18" descr="https://upload.wikimedia.org/wikipedia/commons/thumb/0/05/Flag_of_Libya.svg/23px-Flag_of_Libya.svg.png"/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5595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222250</xdr:colOff>
      <xdr:row>19</xdr:row>
      <xdr:rowOff>146050</xdr:rowOff>
    </xdr:to>
    <xdr:pic>
      <xdr:nvPicPr>
        <xdr:cNvPr id="20" name="Picture 19" descr="https://upload.wikimedia.org/wikipedia/commons/thumb/2/2c/Flag_of_Morocco.svg/23px-Flag_of_Morocco.svg.png"/>
        <xdr:cNvPicPr>
          <a:picLocks noChangeAspect="1" noChangeArrowheads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9342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222250</xdr:colOff>
      <xdr:row>20</xdr:row>
      <xdr:rowOff>146050</xdr:rowOff>
    </xdr:to>
    <xdr:pic>
      <xdr:nvPicPr>
        <xdr:cNvPr id="21" name="Picture 20" descr="https://upload.wikimedia.org/wikipedia/commons/thumb/b/bc/Flag_of_Madagascar.svg/23px-Flag_of_Madagascar.svg.png"/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73088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222250</xdr:colOff>
      <xdr:row>21</xdr:row>
      <xdr:rowOff>146050</xdr:rowOff>
    </xdr:to>
    <xdr:pic>
      <xdr:nvPicPr>
        <xdr:cNvPr id="22" name="Picture 21" descr="https://upload.wikimedia.org/wikipedia/commons/thumb/4/43/Flag_of_Mauritania.svg/23px-Flag_of_Mauritania.svg.png"/>
        <xdr:cNvPicPr>
          <a:picLocks noChangeAspect="1" noChangeArrowheads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76835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22</xdr:row>
      <xdr:rowOff>0</xdr:rowOff>
    </xdr:from>
    <xdr:to>
      <xdr:col>1</xdr:col>
      <xdr:colOff>222250</xdr:colOff>
      <xdr:row>22</xdr:row>
      <xdr:rowOff>146050</xdr:rowOff>
    </xdr:to>
    <xdr:pic>
      <xdr:nvPicPr>
        <xdr:cNvPr id="23" name="Picture 22" descr="https://upload.wikimedia.org/wikipedia/commons/thumb/7/77/Flag_of_Mauritius.svg/23px-Flag_of_Mauritius.svg.png"/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80581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222250</xdr:colOff>
      <xdr:row>23</xdr:row>
      <xdr:rowOff>146050</xdr:rowOff>
    </xdr:to>
    <xdr:pic>
      <xdr:nvPicPr>
        <xdr:cNvPr id="24" name="Picture 23" descr="https://upload.wikimedia.org/wikipedia/commons/thumb/d/d1/Flag_of_Malawi.svg/23px-Flag_of_Malawi.svg.png"/>
        <xdr:cNvPicPr>
          <a:picLocks noChangeAspect="1" noChangeArrowheads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84328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222250</xdr:colOff>
      <xdr:row>24</xdr:row>
      <xdr:rowOff>146050</xdr:rowOff>
    </xdr:to>
    <xdr:pic>
      <xdr:nvPicPr>
        <xdr:cNvPr id="25" name="Picture 24" descr="https://upload.wikimedia.org/wikipedia/commons/thumb/d/d0/Flag_of_Mozambique.svg/23px-Flag_of_Mozambique.svg.png"/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88074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222250</xdr:colOff>
      <xdr:row>25</xdr:row>
      <xdr:rowOff>146050</xdr:rowOff>
    </xdr:to>
    <xdr:pic>
      <xdr:nvPicPr>
        <xdr:cNvPr id="26" name="Picture 25" descr="https://upload.wikimedia.org/wikipedia/commons/thumb/0/00/Flag_of_Namibia.svg/23px-Flag_of_Namibia.svg.png"/>
        <xdr:cNvPicPr>
          <a:picLocks noChangeAspect="1" noChangeArrowheads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93662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222250</xdr:colOff>
      <xdr:row>26</xdr:row>
      <xdr:rowOff>114300</xdr:rowOff>
    </xdr:to>
    <xdr:pic>
      <xdr:nvPicPr>
        <xdr:cNvPr id="27" name="Picture 26" descr="https://upload.wikimedia.org/wikipedia/commons/thumb/7/79/Flag_of_Nigeria.svg/23px-Flag_of_Nigeria.svg.png"/>
        <xdr:cNvPicPr>
          <a:picLocks noChangeAspect="1" noChangeArrowheads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97409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222250</xdr:colOff>
      <xdr:row>27</xdr:row>
      <xdr:rowOff>146050</xdr:rowOff>
    </xdr:to>
    <xdr:pic>
      <xdr:nvPicPr>
        <xdr:cNvPr id="28" name="Picture 27" descr="https://upload.wikimedia.org/wikipedia/commons/thumb/1/17/Flag_of_Rwanda.svg/23px-Flag_of_Rwanda.svg.png"/>
        <xdr:cNvPicPr>
          <a:picLocks noChangeAspect="1" noChangeArrowheads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01155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222250</xdr:colOff>
      <xdr:row>28</xdr:row>
      <xdr:rowOff>114300</xdr:rowOff>
    </xdr:to>
    <xdr:pic>
      <xdr:nvPicPr>
        <xdr:cNvPr id="29" name="Picture 28" descr="https://upload.wikimedia.org/wikipedia/commons/thumb/f/fc/Flag_of_Seychelles.svg/23px-Flag_of_Seychelles.svg.png"/>
        <xdr:cNvPicPr>
          <a:picLocks noChangeAspect="1" noChangeArrowheads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04902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222250</xdr:colOff>
      <xdr:row>29</xdr:row>
      <xdr:rowOff>114300</xdr:rowOff>
    </xdr:to>
    <xdr:pic>
      <xdr:nvPicPr>
        <xdr:cNvPr id="30" name="Picture 29" descr="https://upload.wikimedia.org/wikipedia/commons/thumb/0/01/Flag_of_Sudan.svg/23px-Flag_of_Sudan.svg.png"/>
        <xdr:cNvPicPr>
          <a:picLocks noChangeAspect="1" noChangeArrowheads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08648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30</xdr:row>
      <xdr:rowOff>0</xdr:rowOff>
    </xdr:from>
    <xdr:to>
      <xdr:col>1</xdr:col>
      <xdr:colOff>222250</xdr:colOff>
      <xdr:row>30</xdr:row>
      <xdr:rowOff>146050</xdr:rowOff>
    </xdr:to>
    <xdr:pic>
      <xdr:nvPicPr>
        <xdr:cNvPr id="31" name="Picture 30" descr="https://upload.wikimedia.org/wikipedia/commons/thumb/1/17/Flag_of_Sierra_Leone.svg/23px-Flag_of_Sierra_Leone.svg.png"/>
        <xdr:cNvPicPr>
          <a:picLocks noChangeAspect="1" noChangeArrowheads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12395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31</xdr:row>
      <xdr:rowOff>0</xdr:rowOff>
    </xdr:from>
    <xdr:to>
      <xdr:col>1</xdr:col>
      <xdr:colOff>222250</xdr:colOff>
      <xdr:row>31</xdr:row>
      <xdr:rowOff>146050</xdr:rowOff>
    </xdr:to>
    <xdr:pic>
      <xdr:nvPicPr>
        <xdr:cNvPr id="32" name="Picture 31" descr="https://upload.wikimedia.org/wikipedia/commons/thumb/a/a0/Flag_of_Somalia.svg/23px-Flag_of_Somalia.svg.png"/>
        <xdr:cNvPicPr>
          <a:picLocks noChangeAspect="1" noChangeArrowheads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17983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32</xdr:row>
      <xdr:rowOff>0</xdr:rowOff>
    </xdr:from>
    <xdr:to>
      <xdr:col>1</xdr:col>
      <xdr:colOff>222250</xdr:colOff>
      <xdr:row>32</xdr:row>
      <xdr:rowOff>114300</xdr:rowOff>
    </xdr:to>
    <xdr:pic>
      <xdr:nvPicPr>
        <xdr:cNvPr id="33" name="Picture 32" descr="https://upload.wikimedia.org/wikipedia/commons/thumb/7/7a/Flag_of_South_Sudan.svg/23px-Flag_of_South_Sudan.svg.png"/>
        <xdr:cNvPicPr>
          <a:picLocks noChangeAspect="1" noChangeArrowheads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21729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33</xdr:row>
      <xdr:rowOff>0</xdr:rowOff>
    </xdr:from>
    <xdr:to>
      <xdr:col>1</xdr:col>
      <xdr:colOff>222250</xdr:colOff>
      <xdr:row>33</xdr:row>
      <xdr:rowOff>114300</xdr:rowOff>
    </xdr:to>
    <xdr:pic>
      <xdr:nvPicPr>
        <xdr:cNvPr id="34" name="Picture 33" descr="https://upload.wikimedia.org/wikipedia/commons/thumb/4/4f/Flag_of_Sao_Tome_and_Principe.svg/23px-Flag_of_Sao_Tome_and_Principe.svg.png"/>
        <xdr:cNvPicPr>
          <a:picLocks noChangeAspect="1" noChangeArrowheads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27317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34</xdr:row>
      <xdr:rowOff>0</xdr:rowOff>
    </xdr:from>
    <xdr:to>
      <xdr:col>1</xdr:col>
      <xdr:colOff>222250</xdr:colOff>
      <xdr:row>34</xdr:row>
      <xdr:rowOff>146050</xdr:rowOff>
    </xdr:to>
    <xdr:pic>
      <xdr:nvPicPr>
        <xdr:cNvPr id="35" name="Picture 34" descr="https://upload.wikimedia.org/wikipedia/commons/thumb/1/1e/Flag_of_Swaziland.svg/23px-Flag_of_Swaziland.svg.png"/>
        <xdr:cNvPicPr>
          <a:picLocks noChangeAspect="1" noChangeArrowheads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34747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35</xdr:row>
      <xdr:rowOff>0</xdr:rowOff>
    </xdr:from>
    <xdr:to>
      <xdr:col>1</xdr:col>
      <xdr:colOff>222250</xdr:colOff>
      <xdr:row>35</xdr:row>
      <xdr:rowOff>146050</xdr:rowOff>
    </xdr:to>
    <xdr:pic>
      <xdr:nvPicPr>
        <xdr:cNvPr id="36" name="Picture 35" descr="https://upload.wikimedia.org/wikipedia/commons/thumb/c/ce/Flag_of_Tunisia.svg/23px-Flag_of_Tunisia.svg.png"/>
        <xdr:cNvPicPr>
          <a:picLocks noChangeAspect="1" noChangeArrowheads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38493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36</xdr:row>
      <xdr:rowOff>0</xdr:rowOff>
    </xdr:from>
    <xdr:to>
      <xdr:col>1</xdr:col>
      <xdr:colOff>222250</xdr:colOff>
      <xdr:row>36</xdr:row>
      <xdr:rowOff>146050</xdr:rowOff>
    </xdr:to>
    <xdr:pic>
      <xdr:nvPicPr>
        <xdr:cNvPr id="37" name="Picture 36" descr="https://upload.wikimedia.org/wikipedia/commons/thumb/3/38/Flag_of_Tanzania.svg/23px-Flag_of_Tanzania.svg.png"/>
        <xdr:cNvPicPr>
          <a:picLocks noChangeAspect="1" noChangeArrowheads="1"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42240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37</xdr:row>
      <xdr:rowOff>0</xdr:rowOff>
    </xdr:from>
    <xdr:to>
      <xdr:col>1</xdr:col>
      <xdr:colOff>222250</xdr:colOff>
      <xdr:row>37</xdr:row>
      <xdr:rowOff>146050</xdr:rowOff>
    </xdr:to>
    <xdr:pic>
      <xdr:nvPicPr>
        <xdr:cNvPr id="38" name="Picture 37" descr="https://upload.wikimedia.org/wikipedia/commons/thumb/4/4e/Flag_of_Uganda.svg/23px-Flag_of_Uganda.svg.png"/>
        <xdr:cNvPicPr>
          <a:picLocks noChangeAspect="1" noChangeArrowheads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45986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38</xdr:row>
      <xdr:rowOff>0</xdr:rowOff>
    </xdr:from>
    <xdr:to>
      <xdr:col>1</xdr:col>
      <xdr:colOff>222250</xdr:colOff>
      <xdr:row>38</xdr:row>
      <xdr:rowOff>146050</xdr:rowOff>
    </xdr:to>
    <xdr:pic>
      <xdr:nvPicPr>
        <xdr:cNvPr id="39" name="Picture 38" descr="https://upload.wikimedia.org/wikipedia/commons/thumb/4/4f/Flag_of_Cameroon.svg/23px-Flag_of_Cameroon.svg.png"/>
        <xdr:cNvPicPr>
          <a:picLocks noChangeAspect="1" noChangeArrowheads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49733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39</xdr:row>
      <xdr:rowOff>0</xdr:rowOff>
    </xdr:from>
    <xdr:to>
      <xdr:col>1</xdr:col>
      <xdr:colOff>222250</xdr:colOff>
      <xdr:row>39</xdr:row>
      <xdr:rowOff>146050</xdr:rowOff>
    </xdr:to>
    <xdr:pic>
      <xdr:nvPicPr>
        <xdr:cNvPr id="40" name="Picture 39" descr="https://upload.wikimedia.org/wikipedia/commons/thumb/6/6f/Flag_of_the_Central_African_Republic.svg/23px-Flag_of_the_Central_African_Republic.svg.png"/>
        <xdr:cNvPicPr>
          <a:picLocks noChangeAspect="1" noChangeArrowheads="1"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53479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40</xdr:row>
      <xdr:rowOff>0</xdr:rowOff>
    </xdr:from>
    <xdr:to>
      <xdr:col>1</xdr:col>
      <xdr:colOff>222250</xdr:colOff>
      <xdr:row>40</xdr:row>
      <xdr:rowOff>146050</xdr:rowOff>
    </xdr:to>
    <xdr:pic>
      <xdr:nvPicPr>
        <xdr:cNvPr id="41" name="Picture 40" descr="https://upload.wikimedia.org/wikipedia/commons/thumb/4/4b/Flag_of_Chad.svg/23px-Flag_of_Chad.svg.png"/>
        <xdr:cNvPicPr>
          <a:picLocks noChangeAspect="1" noChangeArrowheads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59067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41</xdr:row>
      <xdr:rowOff>0</xdr:rowOff>
    </xdr:from>
    <xdr:to>
      <xdr:col>1</xdr:col>
      <xdr:colOff>222250</xdr:colOff>
      <xdr:row>41</xdr:row>
      <xdr:rowOff>146050</xdr:rowOff>
    </xdr:to>
    <xdr:pic>
      <xdr:nvPicPr>
        <xdr:cNvPr id="42" name="Picture 41" descr="https://upload.wikimedia.org/wikipedia/commons/thumb/9/92/Flag_of_the_Republic_of_the_Congo.svg/23px-Flag_of_the_Republic_of_the_Congo.svg.png"/>
        <xdr:cNvPicPr>
          <a:picLocks noChangeAspect="1" noChangeArrowheads="1"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60972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42</xdr:row>
      <xdr:rowOff>0</xdr:rowOff>
    </xdr:from>
    <xdr:to>
      <xdr:col>1</xdr:col>
      <xdr:colOff>222250</xdr:colOff>
      <xdr:row>42</xdr:row>
      <xdr:rowOff>146050</xdr:rowOff>
    </xdr:to>
    <xdr:pic>
      <xdr:nvPicPr>
        <xdr:cNvPr id="43" name="Picture 42" descr="https://upload.wikimedia.org/wikipedia/commons/thumb/3/31/Flag_of_Equatorial_Guinea.svg/23px-Flag_of_Equatorial_Guinea.svg.png"/>
        <xdr:cNvPicPr>
          <a:picLocks noChangeAspect="1" noChangeArrowheads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66560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43</xdr:row>
      <xdr:rowOff>0</xdr:rowOff>
    </xdr:from>
    <xdr:to>
      <xdr:col>1</xdr:col>
      <xdr:colOff>190500</xdr:colOff>
      <xdr:row>43</xdr:row>
      <xdr:rowOff>146050</xdr:rowOff>
    </xdr:to>
    <xdr:pic>
      <xdr:nvPicPr>
        <xdr:cNvPr id="44" name="Picture 43" descr="https://upload.wikimedia.org/wikipedia/commons/thumb/0/04/Flag_of_Gabon.svg/20px-Flag_of_Gabon.svg.png"/>
        <xdr:cNvPicPr>
          <a:picLocks noChangeAspect="1" noChangeArrowheads="1"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7030700"/>
          <a:ext cx="19050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44</xdr:row>
      <xdr:rowOff>0</xdr:rowOff>
    </xdr:from>
    <xdr:to>
      <xdr:col>1</xdr:col>
      <xdr:colOff>222250</xdr:colOff>
      <xdr:row>44</xdr:row>
      <xdr:rowOff>146050</xdr:rowOff>
    </xdr:to>
    <xdr:pic>
      <xdr:nvPicPr>
        <xdr:cNvPr id="45" name="Picture 44" descr="https://upload.wikimedia.org/wikipedia/commons/thumb/0/0a/Flag_of_Benin.svg/23px-Flag_of_Benin.svg.png"/>
        <xdr:cNvPicPr>
          <a:picLocks noChangeAspect="1" noChangeArrowheads="1"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72212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45</xdr:row>
      <xdr:rowOff>0</xdr:rowOff>
    </xdr:from>
    <xdr:to>
      <xdr:col>1</xdr:col>
      <xdr:colOff>222250</xdr:colOff>
      <xdr:row>45</xdr:row>
      <xdr:rowOff>146050</xdr:rowOff>
    </xdr:to>
    <xdr:pic>
      <xdr:nvPicPr>
        <xdr:cNvPr id="46" name="Picture 45" descr="https://upload.wikimedia.org/wikipedia/commons/thumb/3/31/Flag_of_Burkina_Faso.svg/23px-Flag_of_Burkina_Faso.svg.png"/>
        <xdr:cNvPicPr>
          <a:picLocks noChangeAspect="1" noChangeArrowheads="1"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74117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46</xdr:row>
      <xdr:rowOff>0</xdr:rowOff>
    </xdr:from>
    <xdr:to>
      <xdr:col>1</xdr:col>
      <xdr:colOff>222250</xdr:colOff>
      <xdr:row>46</xdr:row>
      <xdr:rowOff>114300</xdr:rowOff>
    </xdr:to>
    <xdr:pic>
      <xdr:nvPicPr>
        <xdr:cNvPr id="47" name="Picture 46" descr="https://upload.wikimedia.org/wikipedia/commons/thumb/0/01/Flag_of_Guinea-Bissau.svg/23px-Flag_of_Guinea-Bissau.svg.png"/>
        <xdr:cNvPicPr>
          <a:picLocks noChangeAspect="1" noChangeArrowheads="1"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77863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47</xdr:row>
      <xdr:rowOff>0</xdr:rowOff>
    </xdr:from>
    <xdr:to>
      <xdr:col>1</xdr:col>
      <xdr:colOff>222250</xdr:colOff>
      <xdr:row>47</xdr:row>
      <xdr:rowOff>146050</xdr:rowOff>
    </xdr:to>
    <xdr:pic>
      <xdr:nvPicPr>
        <xdr:cNvPr id="48" name="Picture 47" descr="https://upload.wikimedia.org/wikipedia/commons/thumb/f/fe/Flag_of_C%C3%B4te_d%27Ivoire.svg/23px-Flag_of_C%C3%B4te_d%27Ivoire.svg.png"/>
        <xdr:cNvPicPr>
          <a:picLocks noChangeAspect="1" noChangeArrowheads="1"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81610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48</xdr:row>
      <xdr:rowOff>0</xdr:rowOff>
    </xdr:from>
    <xdr:to>
      <xdr:col>1</xdr:col>
      <xdr:colOff>222250</xdr:colOff>
      <xdr:row>48</xdr:row>
      <xdr:rowOff>146050</xdr:rowOff>
    </xdr:to>
    <xdr:pic>
      <xdr:nvPicPr>
        <xdr:cNvPr id="49" name="Picture 48" descr="https://upload.wikimedia.org/wikipedia/commons/thumb/9/92/Flag_of_Mali.svg/23px-Flag_of_Mali.svg.png"/>
        <xdr:cNvPicPr>
          <a:picLocks noChangeAspect="1" noChangeArrowheads="1"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85356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49</xdr:row>
      <xdr:rowOff>0</xdr:rowOff>
    </xdr:from>
    <xdr:to>
      <xdr:col>1</xdr:col>
      <xdr:colOff>171450</xdr:colOff>
      <xdr:row>49</xdr:row>
      <xdr:rowOff>146050</xdr:rowOff>
    </xdr:to>
    <xdr:pic>
      <xdr:nvPicPr>
        <xdr:cNvPr id="50" name="Picture 49" descr="https://upload.wikimedia.org/wikipedia/commons/thumb/f/f4/Flag_of_Niger.svg/18px-Flag_of_Niger.svg.png"/>
        <xdr:cNvPicPr>
          <a:picLocks noChangeAspect="1" noChangeArrowheads="1"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8726150"/>
          <a:ext cx="1714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50</xdr:row>
      <xdr:rowOff>0</xdr:rowOff>
    </xdr:from>
    <xdr:to>
      <xdr:col>1</xdr:col>
      <xdr:colOff>222250</xdr:colOff>
      <xdr:row>50</xdr:row>
      <xdr:rowOff>146050</xdr:rowOff>
    </xdr:to>
    <xdr:pic>
      <xdr:nvPicPr>
        <xdr:cNvPr id="51" name="Picture 50" descr="https://upload.wikimedia.org/wikipedia/commons/thumb/f/fd/Flag_of_Senegal.svg/23px-Flag_of_Senegal.svg.png"/>
        <xdr:cNvPicPr>
          <a:picLocks noChangeAspect="1" noChangeArrowheads="1"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89166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51</xdr:row>
      <xdr:rowOff>0</xdr:rowOff>
    </xdr:from>
    <xdr:to>
      <xdr:col>1</xdr:col>
      <xdr:colOff>222250</xdr:colOff>
      <xdr:row>51</xdr:row>
      <xdr:rowOff>133350</xdr:rowOff>
    </xdr:to>
    <xdr:pic>
      <xdr:nvPicPr>
        <xdr:cNvPr id="52" name="Picture 51" descr="https://upload.wikimedia.org/wikipedia/commons/thumb/6/68/Flag_of_Togo.svg/23px-Flag_of_Togo.svg.png"/>
        <xdr:cNvPicPr>
          <a:picLocks noChangeAspect="1" noChangeArrowheads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9107150"/>
          <a:ext cx="222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52</xdr:row>
      <xdr:rowOff>0</xdr:rowOff>
    </xdr:from>
    <xdr:to>
      <xdr:col>1</xdr:col>
      <xdr:colOff>222250</xdr:colOff>
      <xdr:row>52</xdr:row>
      <xdr:rowOff>146050</xdr:rowOff>
    </xdr:to>
    <xdr:pic>
      <xdr:nvPicPr>
        <xdr:cNvPr id="53" name="Picture 52" descr="https://upload.wikimedia.org/wikipedia/commons/thumb/a/af/Flag_of_South_Africa.svg/23px-Flag_of_South_Africa.svg.png"/>
        <xdr:cNvPicPr>
          <a:picLocks noChangeAspect="1" noChangeArrowheads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92976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53</xdr:row>
      <xdr:rowOff>0</xdr:rowOff>
    </xdr:from>
    <xdr:to>
      <xdr:col>1</xdr:col>
      <xdr:colOff>222250</xdr:colOff>
      <xdr:row>53</xdr:row>
      <xdr:rowOff>114300</xdr:rowOff>
    </xdr:to>
    <xdr:pic>
      <xdr:nvPicPr>
        <xdr:cNvPr id="54" name="Picture 53" descr="https://upload.wikimedia.org/wikipedia/commons/thumb/6/6a/Flag_of_Zimbabwe.svg/23px-Flag_of_Zimbabwe.svg.png"/>
        <xdr:cNvPicPr>
          <a:picLocks noChangeAspect="1" noChangeArrowheads="1"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98564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54</xdr:row>
      <xdr:rowOff>0</xdr:rowOff>
    </xdr:from>
    <xdr:to>
      <xdr:col>1</xdr:col>
      <xdr:colOff>222250</xdr:colOff>
      <xdr:row>54</xdr:row>
      <xdr:rowOff>146050</xdr:rowOff>
    </xdr:to>
    <xdr:pic>
      <xdr:nvPicPr>
        <xdr:cNvPr id="55" name="Picture 54" descr="https://upload.wikimedia.org/wikipedia/commons/thumb/0/06/Flag_of_Zambia.svg/23px-Flag_of_Zambia.svg.png"/>
        <xdr:cNvPicPr>
          <a:picLocks noChangeAspect="1" noChangeArrowheads="1"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10185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9524</xdr:colOff>
      <xdr:row>1</xdr:row>
      <xdr:rowOff>19050</xdr:rowOff>
    </xdr:from>
    <xdr:to>
      <xdr:col>11</xdr:col>
      <xdr:colOff>800099</xdr:colOff>
      <xdr:row>3</xdr:row>
      <xdr:rowOff>152400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124" y="177800"/>
          <a:ext cx="7153275" cy="9461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6350</xdr:colOff>
          <xdr:row>5</xdr:row>
          <xdr:rowOff>0</xdr:rowOff>
        </xdr:from>
        <xdr:to>
          <xdr:col>5</xdr:col>
          <xdr:colOff>0</xdr:colOff>
          <xdr:row>6</xdr:row>
          <xdr:rowOff>38100</xdr:rowOff>
        </xdr:to>
        <xdr:sp macro="" textlink="">
          <xdr:nvSpPr>
            <xdr:cNvPr id="3076" name="Drop Dow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0</xdr:rowOff>
        </xdr:from>
        <xdr:to>
          <xdr:col>6</xdr:col>
          <xdr:colOff>6350</xdr:colOff>
          <xdr:row>12</xdr:row>
          <xdr:rowOff>12700</xdr:rowOff>
        </xdr:to>
        <xdr:sp macro="" textlink="">
          <xdr:nvSpPr>
            <xdr:cNvPr id="3077" name="Drop Dow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0</xdr:row>
      <xdr:rowOff>0</xdr:rowOff>
    </xdr:from>
    <xdr:to>
      <xdr:col>22</xdr:col>
      <xdr:colOff>0</xdr:colOff>
      <xdr:row>2</xdr:row>
      <xdr:rowOff>31750</xdr:rowOff>
    </xdr:to>
    <xdr:pic>
      <xdr:nvPicPr>
        <xdr:cNvPr id="6" name="Picture 5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0103"/>
        <a:stretch/>
      </xdr:blipFill>
      <xdr:spPr bwMode="auto">
        <a:xfrm>
          <a:off x="0" y="0"/>
          <a:ext cx="13277850" cy="927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25400</xdr:colOff>
          <xdr:row>4</xdr:row>
          <xdr:rowOff>69850</xdr:rowOff>
        </xdr:from>
        <xdr:to>
          <xdr:col>8</xdr:col>
          <xdr:colOff>736600</xdr:colOff>
          <xdr:row>4</xdr:row>
          <xdr:rowOff>266700</xdr:rowOff>
        </xdr:to>
        <xdr:sp macro="" textlink="">
          <xdr:nvSpPr>
            <xdr:cNvPr id="1031" name="Drop Dow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16</xdr:row>
          <xdr:rowOff>69850</xdr:rowOff>
        </xdr:from>
        <xdr:to>
          <xdr:col>8</xdr:col>
          <xdr:colOff>749300</xdr:colOff>
          <xdr:row>16</xdr:row>
          <xdr:rowOff>266700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107950</xdr:colOff>
      <xdr:row>4</xdr:row>
      <xdr:rowOff>673100</xdr:rowOff>
    </xdr:from>
    <xdr:to>
      <xdr:col>13</xdr:col>
      <xdr:colOff>44450</xdr:colOff>
      <xdr:row>37</xdr:row>
      <xdr:rowOff>69858</xdr:rowOff>
    </xdr:to>
    <xdr:grpSp>
      <xdr:nvGrpSpPr>
        <xdr:cNvPr id="29" name="HorsesHintBox" hidden="1"/>
        <xdr:cNvGrpSpPr/>
      </xdr:nvGrpSpPr>
      <xdr:grpSpPr>
        <a:xfrm>
          <a:off x="4692650" y="673100"/>
          <a:ext cx="3778250" cy="5003808"/>
          <a:chOff x="3467100" y="669305"/>
          <a:chExt cx="3778250" cy="4861545"/>
        </a:xfrm>
      </xdr:grpSpPr>
      <xdr:grpSp>
        <xdr:nvGrpSpPr>
          <xdr:cNvPr id="28" name="Group 27" hidden="1"/>
          <xdr:cNvGrpSpPr/>
        </xdr:nvGrpSpPr>
        <xdr:grpSpPr>
          <a:xfrm>
            <a:off x="3467100" y="2255179"/>
            <a:ext cx="3778250" cy="3275671"/>
            <a:chOff x="3467100" y="2121829"/>
            <a:chExt cx="3778250" cy="3275671"/>
          </a:xfrm>
        </xdr:grpSpPr>
        <xdr:sp macro="" textlink="">
          <xdr:nvSpPr>
            <xdr:cNvPr id="24" name="Rectangle 23" hidden="1"/>
            <xdr:cNvSpPr/>
          </xdr:nvSpPr>
          <xdr:spPr>
            <a:xfrm>
              <a:off x="3467100" y="2121829"/>
              <a:ext cx="3778250" cy="236963"/>
            </a:xfrm>
            <a:prstGeom prst="rect">
              <a:avLst/>
            </a:prstGeom>
            <a:solidFill>
              <a:schemeClr val="tx1">
                <a:lumMod val="75000"/>
                <a:lumOff val="25000"/>
              </a:schemeClr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ZA" sz="1100"/>
            </a:p>
          </xdr:txBody>
        </xdr:sp>
        <xdr:sp macro="" textlink="">
          <xdr:nvSpPr>
            <xdr:cNvPr id="2" name="Rectangle 1" hidden="1"/>
            <xdr:cNvSpPr/>
          </xdr:nvSpPr>
          <xdr:spPr>
            <a:xfrm>
              <a:off x="3467100" y="2365762"/>
              <a:ext cx="3778250" cy="3031738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n-ZA" sz="1100">
                  <a:solidFill>
                    <a:sysClr val="windowText" lastClr="000000"/>
                  </a:solidFill>
                </a:rPr>
                <a:t>Do</a:t>
              </a:r>
              <a:r>
                <a:rPr lang="en-ZA" sz="1100" baseline="0">
                  <a:solidFill>
                    <a:sysClr val="windowText" lastClr="000000"/>
                  </a:solidFill>
                </a:rPr>
                <a:t> not insert columns or rows as this will break formulas!</a:t>
              </a:r>
            </a:p>
            <a:p>
              <a:pPr algn="l"/>
              <a:r>
                <a:rPr lang="en-ZA" sz="1100" baseline="0">
                  <a:solidFill>
                    <a:sysClr val="windowText" lastClr="000000"/>
                  </a:solidFill>
                </a:rPr>
                <a:t>To add an item, start the text with "H:" (for example "H:Permit"). </a:t>
              </a:r>
            </a:p>
            <a:p>
              <a:pPr algn="l"/>
              <a:r>
                <a:rPr lang="en-ZA" sz="1100" baseline="0">
                  <a:solidFill>
                    <a:sysClr val="windowText" lastClr="000000"/>
                  </a:solidFill>
                </a:rPr>
                <a:t>To add a heading for an item, start the text with  "H:H:" (for example "H:H:Zim")</a:t>
              </a:r>
            </a:p>
            <a:p>
              <a:pPr algn="l"/>
              <a:endParaRPr lang="en-ZA" sz="1100" baseline="0">
                <a:solidFill>
                  <a:sysClr val="windowText" lastClr="000000"/>
                </a:solidFill>
              </a:endParaRPr>
            </a:p>
            <a:p>
              <a:pPr algn="l"/>
              <a:r>
                <a:rPr lang="en-ZA" sz="1100" baseline="0">
                  <a:solidFill>
                    <a:sysClr val="windowText" lastClr="000000"/>
                  </a:solidFill>
                </a:rPr>
                <a:t>In this example "Service (KM)" is an item so here it is indicated as "H:Service (KM)" in the column header.  "Zim" is a header for the items underneath it so it is indicated as "H:H:Zim" in the column header.</a:t>
              </a:r>
            </a:p>
          </xdr:txBody>
        </xdr:sp>
        <xdr:pic>
          <xdr:nvPicPr>
            <xdr:cNvPr id="8" name="Picture 7" hidden="1"/>
            <xdr:cNvPicPr>
              <a:picLocks noChangeAspect="1"/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3784600" y="4393890"/>
              <a:ext cx="3115326" cy="883253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bg1">
                  <a:lumMod val="75000"/>
                </a:schemeClr>
              </a:solidFill>
            </a:ln>
          </xdr:spPr>
        </xdr:pic>
        <xdr:sp macro="[0]!HideHorsesHint" textlink="">
          <xdr:nvSpPr>
            <xdr:cNvPr id="25" name="Rectangle 24" hidden="1"/>
            <xdr:cNvSpPr/>
          </xdr:nvSpPr>
          <xdr:spPr>
            <a:xfrm>
              <a:off x="6953250" y="2142738"/>
              <a:ext cx="274320" cy="200722"/>
            </a:xfrm>
            <a:prstGeom prst="rect">
              <a:avLst/>
            </a:prstGeom>
            <a:solidFill>
              <a:srgbClr val="FF000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ZA" sz="1100"/>
                <a:t>x</a:t>
              </a:r>
            </a:p>
          </xdr:txBody>
        </xdr:sp>
      </xdr:grpSp>
      <xdr:cxnSp macro="">
        <xdr:nvCxnSpPr>
          <xdr:cNvPr id="6" name="Straight Arrow Connector 5" hidden="1"/>
          <xdr:cNvCxnSpPr>
            <a:stCxn id="10" idx="0"/>
          </xdr:cNvCxnSpPr>
        </xdr:nvCxnSpPr>
        <xdr:spPr>
          <a:xfrm flipH="1" flipV="1">
            <a:off x="3536950" y="687813"/>
            <a:ext cx="657225" cy="3019296"/>
          </a:xfrm>
          <a:prstGeom prst="straightConnector1">
            <a:avLst/>
          </a:prstGeom>
          <a:solidFill>
            <a:schemeClr val="bg1"/>
          </a:solidFill>
          <a:ln w="1905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0" name="Rectangle 9" hidden="1"/>
          <xdr:cNvSpPr/>
        </xdr:nvSpPr>
        <xdr:spPr>
          <a:xfrm>
            <a:off x="3689350" y="3707109"/>
            <a:ext cx="1009650" cy="181207"/>
          </a:xfrm>
          <a:prstGeom prst="rect">
            <a:avLst/>
          </a:prstGeom>
          <a:noFill/>
          <a:ln w="190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" textlink="">
        <xdr:nvSpPr>
          <xdr:cNvPr id="11" name="Rectangle 10" hidden="1"/>
          <xdr:cNvSpPr/>
        </xdr:nvSpPr>
        <xdr:spPr>
          <a:xfrm>
            <a:off x="6216650" y="3863637"/>
            <a:ext cx="594360" cy="181207"/>
          </a:xfrm>
          <a:prstGeom prst="rect">
            <a:avLst/>
          </a:prstGeom>
          <a:noFill/>
          <a:ln w="190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cxnSp macro="">
        <xdr:nvCxnSpPr>
          <xdr:cNvPr id="14" name="Straight Arrow Connector 13" hidden="1"/>
          <xdr:cNvCxnSpPr>
            <a:stCxn id="11" idx="2"/>
          </xdr:cNvCxnSpPr>
        </xdr:nvCxnSpPr>
        <xdr:spPr>
          <a:xfrm flipH="1">
            <a:off x="4191000" y="4044845"/>
            <a:ext cx="2322830" cy="980101"/>
          </a:xfrm>
          <a:prstGeom prst="straightConnector1">
            <a:avLst/>
          </a:prstGeom>
          <a:solidFill>
            <a:schemeClr val="bg1"/>
          </a:solidFill>
          <a:ln w="1905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" name="Straight Arrow Connector 17" hidden="1"/>
          <xdr:cNvCxnSpPr>
            <a:stCxn id="10" idx="2"/>
          </xdr:cNvCxnSpPr>
        </xdr:nvCxnSpPr>
        <xdr:spPr>
          <a:xfrm>
            <a:off x="4194175" y="3888316"/>
            <a:ext cx="28575" cy="760293"/>
          </a:xfrm>
          <a:prstGeom prst="straightConnector1">
            <a:avLst/>
          </a:prstGeom>
          <a:solidFill>
            <a:schemeClr val="bg1"/>
          </a:solidFill>
          <a:ln w="1905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" name="Straight Arrow Connector 11" hidden="1"/>
          <xdr:cNvCxnSpPr>
            <a:stCxn id="11" idx="0"/>
          </xdr:cNvCxnSpPr>
        </xdr:nvCxnSpPr>
        <xdr:spPr>
          <a:xfrm flipV="1">
            <a:off x="6513830" y="669305"/>
            <a:ext cx="306070" cy="3194333"/>
          </a:xfrm>
          <a:prstGeom prst="straightConnector1">
            <a:avLst/>
          </a:prstGeom>
          <a:solidFill>
            <a:schemeClr val="bg1"/>
          </a:solidFill>
          <a:ln w="1905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101600</xdr:colOff>
      <xdr:row>4</xdr:row>
      <xdr:rowOff>127000</xdr:rowOff>
    </xdr:from>
    <xdr:to>
      <xdr:col>3</xdr:col>
      <xdr:colOff>330200</xdr:colOff>
      <xdr:row>4</xdr:row>
      <xdr:rowOff>401320</xdr:rowOff>
    </xdr:to>
    <xdr:sp macro="[0]!ShowHorsesHint" textlink="">
      <xdr:nvSpPr>
        <xdr:cNvPr id="27" name="HorsesShowHelpButton"/>
        <xdr:cNvSpPr/>
      </xdr:nvSpPr>
      <xdr:spPr>
        <a:xfrm>
          <a:off x="101600" y="127000"/>
          <a:ext cx="844550" cy="274320"/>
        </a:xfrm>
        <a:prstGeom prst="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100" b="0">
              <a:solidFill>
                <a:schemeClr val="bg1"/>
              </a:solidFill>
            </a:rPr>
            <a:t>Show Help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Management%20Dashboar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mplates"/>
      <sheetName val="Data"/>
      <sheetName val="Dispatch Sheet"/>
      <sheetName val="Old Dispatch Sheet"/>
      <sheetName val="Exchange Rate"/>
      <sheetName val="Countries"/>
      <sheetName val="Sheet2"/>
      <sheetName val="Dashboard"/>
      <sheetName val="Drivers"/>
      <sheetName val="Horses"/>
      <sheetName val="Trailers"/>
      <sheetName val="Inventory"/>
      <sheetName val="Management Dashboard"/>
    </sheetNames>
    <definedNames>
      <definedName name="closepopup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 refreshError="1"/>
    </sheetDataSet>
  </externalBook>
</externalLink>
</file>

<file path=xl/tables/table1.xml><?xml version="1.0" encoding="utf-8"?>
<table xmlns="http://schemas.openxmlformats.org/spreadsheetml/2006/main" id="3" name="Table3" displayName="Table3" ref="A1:Q149" tableType="xml" totalsRowShown="0" connectionId="1">
  <autoFilter ref="A1:Q149"/>
  <tableColumns count="17">
    <tableColumn id="1" uniqueName="title" name="title">
      <xmlColumnPr mapId="2" xpath="/channel/title" xmlDataType="string"/>
    </tableColumn>
    <tableColumn id="2" uniqueName="link" name="link">
      <xmlColumnPr mapId="2" xpath="/channel/link" xmlDataType="anyURI"/>
    </tableColumn>
    <tableColumn id="3" uniqueName="xmlLink" name="xmlLink">
      <xmlColumnPr mapId="2" xpath="/channel/xmlLink" xmlDataType="anyURI"/>
    </tableColumn>
    <tableColumn id="4" uniqueName="description" name="description">
      <xmlColumnPr mapId="2" xpath="/channel/description" xmlDataType="string"/>
    </tableColumn>
    <tableColumn id="5" uniqueName="language" name="language">
      <xmlColumnPr mapId="2" xpath="/channel/language" xmlDataType="string"/>
    </tableColumn>
    <tableColumn id="6" uniqueName="baseCurrency" name="baseCurrency">
      <xmlColumnPr mapId="2" xpath="/channel/baseCurrency" xmlDataType="string"/>
    </tableColumn>
    <tableColumn id="7" uniqueName="pubDate" name="pubDate">
      <xmlColumnPr mapId="2" xpath="/channel/pubDate" xmlDataType="string"/>
    </tableColumn>
    <tableColumn id="8" uniqueName="lastBuildDate" name="lastBuildDate">
      <xmlColumnPr mapId="2" xpath="/channel/lastBuildDate" xmlDataType="string"/>
    </tableColumn>
    <tableColumn id="9" uniqueName="title" name="title2">
      <xmlColumnPr mapId="2" xpath="/channel/item/title" xmlDataType="string"/>
    </tableColumn>
    <tableColumn id="10" uniqueName="link" name="link3">
      <xmlColumnPr mapId="2" xpath="/channel/item/link" xmlDataType="anyURI"/>
    </tableColumn>
    <tableColumn id="11" uniqueName="description" name="description4">
      <xmlColumnPr mapId="2" xpath="/channel/item/description" xmlDataType="string"/>
    </tableColumn>
    <tableColumn id="12" uniqueName="pubDate" name="pubDate5">
      <xmlColumnPr mapId="2" xpath="/channel/item/pubDate" xmlDataType="string"/>
    </tableColumn>
    <tableColumn id="13" uniqueName="baseCurrency" name="baseCurrency6">
      <xmlColumnPr mapId="2" xpath="/channel/item/baseCurrency" xmlDataType="string"/>
    </tableColumn>
    <tableColumn id="14" uniqueName="baseName" name="baseName">
      <xmlColumnPr mapId="2" xpath="/channel/item/baseName" xmlDataType="string"/>
    </tableColumn>
    <tableColumn id="15" uniqueName="targetCurrency" name="targetCurrency">
      <xmlColumnPr mapId="2" xpath="/channel/item/targetCurrency" xmlDataType="string"/>
    </tableColumn>
    <tableColumn id="16" uniqueName="targetName" name="targetName">
      <xmlColumnPr mapId="2" xpath="/channel/item/targetName" xmlDataType="string"/>
    </tableColumn>
    <tableColumn id="17" uniqueName="exchangeRate" name="exchangeRate">
      <xmlColumnPr mapId="2" xpath="/channel/item/exchangeRate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hyperlink" Target="https://en.wikipedia.org/wiki/Guinean_franc" TargetMode="External"/><Relationship Id="rId21" Type="http://schemas.openxmlformats.org/officeDocument/2006/relationships/hyperlink" Target="https://en.wikipedia.org/wiki/Ghana" TargetMode="External"/><Relationship Id="rId42" Type="http://schemas.openxmlformats.org/officeDocument/2006/relationships/hyperlink" Target="https://en.wikipedia.org/wiki/Ouguiya" TargetMode="External"/><Relationship Id="rId47" Type="http://schemas.openxmlformats.org/officeDocument/2006/relationships/hyperlink" Target="https://en.wikipedia.org/wiki/Mozambique" TargetMode="External"/><Relationship Id="rId63" Type="http://schemas.openxmlformats.org/officeDocument/2006/relationships/hyperlink" Target="https://en.wikipedia.org/wiki/South_Sudan" TargetMode="External"/><Relationship Id="rId68" Type="http://schemas.openxmlformats.org/officeDocument/2006/relationships/hyperlink" Target="https://en.wikipedia.org/wiki/Lilangeni" TargetMode="External"/><Relationship Id="rId84" Type="http://schemas.openxmlformats.org/officeDocument/2006/relationships/hyperlink" Target="https://en.wikipedia.org/wiki/CFA_franc" TargetMode="External"/><Relationship Id="rId89" Type="http://schemas.openxmlformats.org/officeDocument/2006/relationships/hyperlink" Target="https://en.wikipedia.org/wiki/Burkina_Faso" TargetMode="External"/><Relationship Id="rId16" Type="http://schemas.openxmlformats.org/officeDocument/2006/relationships/hyperlink" Target="https://en.wikipedia.org/wiki/Egyptian_pound" TargetMode="External"/><Relationship Id="rId107" Type="http://schemas.openxmlformats.org/officeDocument/2006/relationships/hyperlink" Target="https://en.wikipedia.org/wiki/Zambian_kwacha" TargetMode="External"/><Relationship Id="rId11" Type="http://schemas.openxmlformats.org/officeDocument/2006/relationships/hyperlink" Target="https://en.wikipedia.org/wiki/Djibouti" TargetMode="External"/><Relationship Id="rId32" Type="http://schemas.openxmlformats.org/officeDocument/2006/relationships/hyperlink" Target="https://en.wikipedia.org/wiki/Liberian_dollar" TargetMode="External"/><Relationship Id="rId37" Type="http://schemas.openxmlformats.org/officeDocument/2006/relationships/hyperlink" Target="https://en.wikipedia.org/wiki/Morocco" TargetMode="External"/><Relationship Id="rId53" Type="http://schemas.openxmlformats.org/officeDocument/2006/relationships/hyperlink" Target="https://en.wikipedia.org/wiki/Rwanda" TargetMode="External"/><Relationship Id="rId58" Type="http://schemas.openxmlformats.org/officeDocument/2006/relationships/hyperlink" Target="https://en.wikipedia.org/wiki/Sudanese_pound" TargetMode="External"/><Relationship Id="rId74" Type="http://schemas.openxmlformats.org/officeDocument/2006/relationships/hyperlink" Target="https://en.wikipedia.org/wiki/Ugandan_shilling" TargetMode="External"/><Relationship Id="rId79" Type="http://schemas.openxmlformats.org/officeDocument/2006/relationships/hyperlink" Target="https://en.wikipedia.org/wiki/Chad" TargetMode="External"/><Relationship Id="rId102" Type="http://schemas.openxmlformats.org/officeDocument/2006/relationships/hyperlink" Target="https://en.wikipedia.org/wiki/CFA_franc" TargetMode="External"/><Relationship Id="rId5" Type="http://schemas.openxmlformats.org/officeDocument/2006/relationships/hyperlink" Target="https://en.wikipedia.org/wiki/Botswana" TargetMode="External"/><Relationship Id="rId90" Type="http://schemas.openxmlformats.org/officeDocument/2006/relationships/hyperlink" Target="https://en.wikipedia.org/wiki/CFA_franc" TargetMode="External"/><Relationship Id="rId95" Type="http://schemas.openxmlformats.org/officeDocument/2006/relationships/hyperlink" Target="https://en.wikipedia.org/wiki/Mali" TargetMode="External"/><Relationship Id="rId22" Type="http://schemas.openxmlformats.org/officeDocument/2006/relationships/hyperlink" Target="https://en.wikipedia.org/wiki/Ghanaian_cedi" TargetMode="External"/><Relationship Id="rId27" Type="http://schemas.openxmlformats.org/officeDocument/2006/relationships/hyperlink" Target="https://en.wikipedia.org/wiki/Kenya" TargetMode="External"/><Relationship Id="rId43" Type="http://schemas.openxmlformats.org/officeDocument/2006/relationships/hyperlink" Target="https://en.wikipedia.org/wiki/Mauritius" TargetMode="External"/><Relationship Id="rId48" Type="http://schemas.openxmlformats.org/officeDocument/2006/relationships/hyperlink" Target="https://en.wikipedia.org/wiki/Mozambican_metical" TargetMode="External"/><Relationship Id="rId64" Type="http://schemas.openxmlformats.org/officeDocument/2006/relationships/hyperlink" Target="https://en.wikipedia.org/wiki/South_Sudanese_pound" TargetMode="External"/><Relationship Id="rId69" Type="http://schemas.openxmlformats.org/officeDocument/2006/relationships/hyperlink" Target="https://en.wikipedia.org/wiki/Tunisia" TargetMode="External"/><Relationship Id="rId80" Type="http://schemas.openxmlformats.org/officeDocument/2006/relationships/hyperlink" Target="https://en.wikipedia.org/wiki/CFA_franc" TargetMode="External"/><Relationship Id="rId85" Type="http://schemas.openxmlformats.org/officeDocument/2006/relationships/hyperlink" Target="https://en.wikipedia.org/wiki/Gabon" TargetMode="External"/><Relationship Id="rId12" Type="http://schemas.openxmlformats.org/officeDocument/2006/relationships/hyperlink" Target="https://en.wikipedia.org/wiki/Djiboutian_franc" TargetMode="External"/><Relationship Id="rId17" Type="http://schemas.openxmlformats.org/officeDocument/2006/relationships/hyperlink" Target="https://en.wikipedia.org/wiki/Eritrea" TargetMode="External"/><Relationship Id="rId33" Type="http://schemas.openxmlformats.org/officeDocument/2006/relationships/hyperlink" Target="https://en.wikipedia.org/wiki/Lesotho" TargetMode="External"/><Relationship Id="rId38" Type="http://schemas.openxmlformats.org/officeDocument/2006/relationships/hyperlink" Target="https://en.wikipedia.org/wiki/Moroccan_dirham" TargetMode="External"/><Relationship Id="rId59" Type="http://schemas.openxmlformats.org/officeDocument/2006/relationships/hyperlink" Target="https://en.wikipedia.org/wiki/Sierra_Leone" TargetMode="External"/><Relationship Id="rId103" Type="http://schemas.openxmlformats.org/officeDocument/2006/relationships/hyperlink" Target="https://en.wikipedia.org/wiki/South_Africa" TargetMode="External"/><Relationship Id="rId108" Type="http://schemas.openxmlformats.org/officeDocument/2006/relationships/drawing" Target="../drawings/drawing3.xml"/><Relationship Id="rId20" Type="http://schemas.openxmlformats.org/officeDocument/2006/relationships/hyperlink" Target="https://en.wikipedia.org/wiki/Ethiopian_birr" TargetMode="External"/><Relationship Id="rId41" Type="http://schemas.openxmlformats.org/officeDocument/2006/relationships/hyperlink" Target="https://en.wikipedia.org/wiki/Mauritania" TargetMode="External"/><Relationship Id="rId54" Type="http://schemas.openxmlformats.org/officeDocument/2006/relationships/hyperlink" Target="https://en.wikipedia.org/wiki/Rwandan_franc" TargetMode="External"/><Relationship Id="rId62" Type="http://schemas.openxmlformats.org/officeDocument/2006/relationships/hyperlink" Target="https://en.wikipedia.org/wiki/Somali_shilling" TargetMode="External"/><Relationship Id="rId70" Type="http://schemas.openxmlformats.org/officeDocument/2006/relationships/hyperlink" Target="https://en.wikipedia.org/wiki/Tunisian_dinar" TargetMode="External"/><Relationship Id="rId75" Type="http://schemas.openxmlformats.org/officeDocument/2006/relationships/hyperlink" Target="https://en.wikipedia.org/wiki/Cameroon" TargetMode="External"/><Relationship Id="rId83" Type="http://schemas.openxmlformats.org/officeDocument/2006/relationships/hyperlink" Target="https://en.wikipedia.org/wiki/Equatorial_Guinea" TargetMode="External"/><Relationship Id="rId88" Type="http://schemas.openxmlformats.org/officeDocument/2006/relationships/hyperlink" Target="https://en.wikipedia.org/wiki/CFA_franc" TargetMode="External"/><Relationship Id="rId91" Type="http://schemas.openxmlformats.org/officeDocument/2006/relationships/hyperlink" Target="https://en.wikipedia.org/wiki/Guinea-Bissau" TargetMode="External"/><Relationship Id="rId96" Type="http://schemas.openxmlformats.org/officeDocument/2006/relationships/hyperlink" Target="https://en.wikipedia.org/wiki/CFA_franc" TargetMode="External"/><Relationship Id="rId1" Type="http://schemas.openxmlformats.org/officeDocument/2006/relationships/hyperlink" Target="https://en.wikipedia.org/wiki/Angola" TargetMode="External"/><Relationship Id="rId6" Type="http://schemas.openxmlformats.org/officeDocument/2006/relationships/hyperlink" Target="https://en.wikipedia.org/wiki/Botswana_Pula" TargetMode="External"/><Relationship Id="rId15" Type="http://schemas.openxmlformats.org/officeDocument/2006/relationships/hyperlink" Target="https://en.wikipedia.org/wiki/Egypt" TargetMode="External"/><Relationship Id="rId23" Type="http://schemas.openxmlformats.org/officeDocument/2006/relationships/hyperlink" Target="https://en.wikipedia.org/wiki/The_Gambia" TargetMode="External"/><Relationship Id="rId28" Type="http://schemas.openxmlformats.org/officeDocument/2006/relationships/hyperlink" Target="https://en.wikipedia.org/wiki/Kenyan_shilling" TargetMode="External"/><Relationship Id="rId36" Type="http://schemas.openxmlformats.org/officeDocument/2006/relationships/hyperlink" Target="https://en.wikipedia.org/wiki/Libyan_dinar" TargetMode="External"/><Relationship Id="rId49" Type="http://schemas.openxmlformats.org/officeDocument/2006/relationships/hyperlink" Target="https://en.wikipedia.org/wiki/Namibia" TargetMode="External"/><Relationship Id="rId57" Type="http://schemas.openxmlformats.org/officeDocument/2006/relationships/hyperlink" Target="https://en.wikipedia.org/wiki/Sudan" TargetMode="External"/><Relationship Id="rId106" Type="http://schemas.openxmlformats.org/officeDocument/2006/relationships/hyperlink" Target="https://en.wikipedia.org/wiki/Zambia" TargetMode="External"/><Relationship Id="rId10" Type="http://schemas.openxmlformats.org/officeDocument/2006/relationships/hyperlink" Target="https://en.wikipedia.org/wiki/Cape_Verdean_Escudo" TargetMode="External"/><Relationship Id="rId31" Type="http://schemas.openxmlformats.org/officeDocument/2006/relationships/hyperlink" Target="https://en.wikipedia.org/wiki/Liberia" TargetMode="External"/><Relationship Id="rId44" Type="http://schemas.openxmlformats.org/officeDocument/2006/relationships/hyperlink" Target="https://en.wikipedia.org/wiki/Mauritian_rupee" TargetMode="External"/><Relationship Id="rId52" Type="http://schemas.openxmlformats.org/officeDocument/2006/relationships/hyperlink" Target="https://en.wikipedia.org/wiki/Nigerian_naira" TargetMode="External"/><Relationship Id="rId60" Type="http://schemas.openxmlformats.org/officeDocument/2006/relationships/hyperlink" Target="https://en.wikipedia.org/wiki/Sierra_Leone" TargetMode="External"/><Relationship Id="rId65" Type="http://schemas.openxmlformats.org/officeDocument/2006/relationships/hyperlink" Target="https://en.wikipedia.org/wiki/S%C3%A3o_Tom%C3%A9_and_Pr%C3%ADncipe" TargetMode="External"/><Relationship Id="rId73" Type="http://schemas.openxmlformats.org/officeDocument/2006/relationships/hyperlink" Target="https://en.wikipedia.org/wiki/Uganda" TargetMode="External"/><Relationship Id="rId78" Type="http://schemas.openxmlformats.org/officeDocument/2006/relationships/hyperlink" Target="https://en.wikipedia.org/wiki/CFA_franc" TargetMode="External"/><Relationship Id="rId81" Type="http://schemas.openxmlformats.org/officeDocument/2006/relationships/hyperlink" Target="https://en.wikipedia.org/wiki/Republic_of_the_Congo" TargetMode="External"/><Relationship Id="rId86" Type="http://schemas.openxmlformats.org/officeDocument/2006/relationships/hyperlink" Target="https://en.wikipedia.org/wiki/CFA_franc" TargetMode="External"/><Relationship Id="rId94" Type="http://schemas.openxmlformats.org/officeDocument/2006/relationships/hyperlink" Target="https://en.wikipedia.org/wiki/CFA_franc" TargetMode="External"/><Relationship Id="rId99" Type="http://schemas.openxmlformats.org/officeDocument/2006/relationships/hyperlink" Target="https://en.wikipedia.org/wiki/Senegal" TargetMode="External"/><Relationship Id="rId101" Type="http://schemas.openxmlformats.org/officeDocument/2006/relationships/hyperlink" Target="https://en.wikipedia.org/wiki/Togo" TargetMode="External"/><Relationship Id="rId4" Type="http://schemas.openxmlformats.org/officeDocument/2006/relationships/hyperlink" Target="https://en.wikipedia.org/wiki/Burundi_franc" TargetMode="External"/><Relationship Id="rId9" Type="http://schemas.openxmlformats.org/officeDocument/2006/relationships/hyperlink" Target="https://en.wikipedia.org/wiki/Cape_Verde" TargetMode="External"/><Relationship Id="rId13" Type="http://schemas.openxmlformats.org/officeDocument/2006/relationships/hyperlink" Target="https://en.wikipedia.org/wiki/Algeria" TargetMode="External"/><Relationship Id="rId18" Type="http://schemas.openxmlformats.org/officeDocument/2006/relationships/hyperlink" Target="https://en.wikipedia.org/wiki/Eritrean_nakfa" TargetMode="External"/><Relationship Id="rId39" Type="http://schemas.openxmlformats.org/officeDocument/2006/relationships/hyperlink" Target="https://en.wikipedia.org/wiki/Madagascar" TargetMode="External"/><Relationship Id="rId34" Type="http://schemas.openxmlformats.org/officeDocument/2006/relationships/hyperlink" Target="https://en.wikipedia.org/wiki/Lesotho_loti" TargetMode="External"/><Relationship Id="rId50" Type="http://schemas.openxmlformats.org/officeDocument/2006/relationships/hyperlink" Target="https://en.wikipedia.org/wiki/Namibian_dollar" TargetMode="External"/><Relationship Id="rId55" Type="http://schemas.openxmlformats.org/officeDocument/2006/relationships/hyperlink" Target="https://en.wikipedia.org/wiki/Seychelles" TargetMode="External"/><Relationship Id="rId76" Type="http://schemas.openxmlformats.org/officeDocument/2006/relationships/hyperlink" Target="https://en.wikipedia.org/wiki/CFA_franc" TargetMode="External"/><Relationship Id="rId97" Type="http://schemas.openxmlformats.org/officeDocument/2006/relationships/hyperlink" Target="https://en.wikipedia.org/wiki/Niger" TargetMode="External"/><Relationship Id="rId104" Type="http://schemas.openxmlformats.org/officeDocument/2006/relationships/hyperlink" Target="https://en.wikipedia.org/wiki/South_African_Rand" TargetMode="External"/><Relationship Id="rId7" Type="http://schemas.openxmlformats.org/officeDocument/2006/relationships/hyperlink" Target="https://en.wikipedia.org/wiki/Democratic_Republic_of_the_Congo" TargetMode="External"/><Relationship Id="rId71" Type="http://schemas.openxmlformats.org/officeDocument/2006/relationships/hyperlink" Target="https://en.wikipedia.org/wiki/Tanzania" TargetMode="External"/><Relationship Id="rId92" Type="http://schemas.openxmlformats.org/officeDocument/2006/relationships/hyperlink" Target="https://en.wikipedia.org/wiki/CFA_franc" TargetMode="External"/><Relationship Id="rId2" Type="http://schemas.openxmlformats.org/officeDocument/2006/relationships/hyperlink" Target="https://en.wikipedia.org/wiki/Kwanza" TargetMode="External"/><Relationship Id="rId29" Type="http://schemas.openxmlformats.org/officeDocument/2006/relationships/hyperlink" Target="https://en.wikipedia.org/wiki/Comoros" TargetMode="External"/><Relationship Id="rId24" Type="http://schemas.openxmlformats.org/officeDocument/2006/relationships/hyperlink" Target="https://en.wikipedia.org/wiki/Dalasi" TargetMode="External"/><Relationship Id="rId40" Type="http://schemas.openxmlformats.org/officeDocument/2006/relationships/hyperlink" Target="https://en.wikipedia.org/wiki/Malagasy_ariary" TargetMode="External"/><Relationship Id="rId45" Type="http://schemas.openxmlformats.org/officeDocument/2006/relationships/hyperlink" Target="https://en.wikipedia.org/wiki/Malawi" TargetMode="External"/><Relationship Id="rId66" Type="http://schemas.openxmlformats.org/officeDocument/2006/relationships/hyperlink" Target="https://en.wikipedia.org/wiki/S%C3%A3o_Tom%C3%A9_and_Pr%C3%ADncipe_dobra" TargetMode="External"/><Relationship Id="rId87" Type="http://schemas.openxmlformats.org/officeDocument/2006/relationships/hyperlink" Target="https://en.wikipedia.org/wiki/Benin" TargetMode="External"/><Relationship Id="rId61" Type="http://schemas.openxmlformats.org/officeDocument/2006/relationships/hyperlink" Target="https://en.wikipedia.org/wiki/Somalia" TargetMode="External"/><Relationship Id="rId82" Type="http://schemas.openxmlformats.org/officeDocument/2006/relationships/hyperlink" Target="https://en.wikipedia.org/wiki/CFA_franc" TargetMode="External"/><Relationship Id="rId19" Type="http://schemas.openxmlformats.org/officeDocument/2006/relationships/hyperlink" Target="https://en.wikipedia.org/wiki/Ethiopia" TargetMode="External"/><Relationship Id="rId14" Type="http://schemas.openxmlformats.org/officeDocument/2006/relationships/hyperlink" Target="https://en.wikipedia.org/wiki/Algerian_dinar" TargetMode="External"/><Relationship Id="rId30" Type="http://schemas.openxmlformats.org/officeDocument/2006/relationships/hyperlink" Target="https://en.wikipedia.org/wiki/Comorian_franc" TargetMode="External"/><Relationship Id="rId35" Type="http://schemas.openxmlformats.org/officeDocument/2006/relationships/hyperlink" Target="https://en.wikipedia.org/wiki/Libya" TargetMode="External"/><Relationship Id="rId56" Type="http://schemas.openxmlformats.org/officeDocument/2006/relationships/hyperlink" Target="https://en.wikipedia.org/wiki/Seychellois_rupee" TargetMode="External"/><Relationship Id="rId77" Type="http://schemas.openxmlformats.org/officeDocument/2006/relationships/hyperlink" Target="https://en.wikipedia.org/wiki/Central_African_Republic" TargetMode="External"/><Relationship Id="rId100" Type="http://schemas.openxmlformats.org/officeDocument/2006/relationships/hyperlink" Target="https://en.wikipedia.org/wiki/CFA_franc" TargetMode="External"/><Relationship Id="rId105" Type="http://schemas.openxmlformats.org/officeDocument/2006/relationships/hyperlink" Target="https://en.wikipedia.org/wiki/Zimbabwe" TargetMode="External"/><Relationship Id="rId8" Type="http://schemas.openxmlformats.org/officeDocument/2006/relationships/hyperlink" Target="https://en.wikipedia.org/wiki/Congolese_franc" TargetMode="External"/><Relationship Id="rId51" Type="http://schemas.openxmlformats.org/officeDocument/2006/relationships/hyperlink" Target="https://en.wikipedia.org/wiki/Nigeria" TargetMode="External"/><Relationship Id="rId72" Type="http://schemas.openxmlformats.org/officeDocument/2006/relationships/hyperlink" Target="https://en.wikipedia.org/wiki/Tanzanian_shilling" TargetMode="External"/><Relationship Id="rId93" Type="http://schemas.openxmlformats.org/officeDocument/2006/relationships/hyperlink" Target="https://en.wikipedia.org/wiki/Ivory_Coast" TargetMode="External"/><Relationship Id="rId98" Type="http://schemas.openxmlformats.org/officeDocument/2006/relationships/hyperlink" Target="https://en.wikipedia.org/wiki/CFA_franc" TargetMode="External"/><Relationship Id="rId3" Type="http://schemas.openxmlformats.org/officeDocument/2006/relationships/hyperlink" Target="https://en.wikipedia.org/wiki/Burundi" TargetMode="External"/><Relationship Id="rId25" Type="http://schemas.openxmlformats.org/officeDocument/2006/relationships/hyperlink" Target="https://en.wikipedia.org/wiki/Guinea" TargetMode="External"/><Relationship Id="rId46" Type="http://schemas.openxmlformats.org/officeDocument/2006/relationships/hyperlink" Target="https://en.wikipedia.org/wiki/Malawian_kwacha" TargetMode="External"/><Relationship Id="rId67" Type="http://schemas.openxmlformats.org/officeDocument/2006/relationships/hyperlink" Target="https://en.wikipedia.org/wiki/Swaziland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floatrates.com/currency/zar/" TargetMode="External"/><Relationship Id="rId299" Type="http://schemas.openxmlformats.org/officeDocument/2006/relationships/hyperlink" Target="http://www.floatrates.com/zar/gbp/" TargetMode="External"/><Relationship Id="rId21" Type="http://schemas.openxmlformats.org/officeDocument/2006/relationships/hyperlink" Target="http://www.floatrates.com/currency/zar/" TargetMode="External"/><Relationship Id="rId63" Type="http://schemas.openxmlformats.org/officeDocument/2006/relationships/hyperlink" Target="http://www.floatrates.com/currency/zar/" TargetMode="External"/><Relationship Id="rId159" Type="http://schemas.openxmlformats.org/officeDocument/2006/relationships/hyperlink" Target="http://www.floatrates.com/daily/zar.xml" TargetMode="External"/><Relationship Id="rId324" Type="http://schemas.openxmlformats.org/officeDocument/2006/relationships/hyperlink" Target="http://www.floatrates.com/zar/kgs/" TargetMode="External"/><Relationship Id="rId366" Type="http://schemas.openxmlformats.org/officeDocument/2006/relationships/hyperlink" Target="http://www.floatrates.com/zar/dkk/" TargetMode="External"/><Relationship Id="rId170" Type="http://schemas.openxmlformats.org/officeDocument/2006/relationships/hyperlink" Target="http://www.floatrates.com/daily/zar.xml" TargetMode="External"/><Relationship Id="rId226" Type="http://schemas.openxmlformats.org/officeDocument/2006/relationships/hyperlink" Target="http://www.floatrates.com/daily/zar.xml" TargetMode="External"/><Relationship Id="rId433" Type="http://schemas.openxmlformats.org/officeDocument/2006/relationships/hyperlink" Target="http://www.floatrates.com/zar/ang/" TargetMode="External"/><Relationship Id="rId268" Type="http://schemas.openxmlformats.org/officeDocument/2006/relationships/hyperlink" Target="http://www.floatrates.com/daily/zar.xml" TargetMode="External"/><Relationship Id="rId32" Type="http://schemas.openxmlformats.org/officeDocument/2006/relationships/hyperlink" Target="http://www.floatrates.com/currency/zar/" TargetMode="External"/><Relationship Id="rId74" Type="http://schemas.openxmlformats.org/officeDocument/2006/relationships/hyperlink" Target="http://www.floatrates.com/currency/zar/" TargetMode="External"/><Relationship Id="rId128" Type="http://schemas.openxmlformats.org/officeDocument/2006/relationships/hyperlink" Target="http://www.floatrates.com/currency/zar/" TargetMode="External"/><Relationship Id="rId335" Type="http://schemas.openxmlformats.org/officeDocument/2006/relationships/hyperlink" Target="http://www.floatrates.com/zar/xcd/" TargetMode="External"/><Relationship Id="rId377" Type="http://schemas.openxmlformats.org/officeDocument/2006/relationships/hyperlink" Target="http://www.floatrates.com/zar/tmt/" TargetMode="External"/><Relationship Id="rId5" Type="http://schemas.openxmlformats.org/officeDocument/2006/relationships/hyperlink" Target="http://www.floatrates.com/currency/zar/" TargetMode="External"/><Relationship Id="rId181" Type="http://schemas.openxmlformats.org/officeDocument/2006/relationships/hyperlink" Target="http://www.floatrates.com/daily/zar.xml" TargetMode="External"/><Relationship Id="rId237" Type="http://schemas.openxmlformats.org/officeDocument/2006/relationships/hyperlink" Target="http://www.floatrates.com/daily/zar.xml" TargetMode="External"/><Relationship Id="rId402" Type="http://schemas.openxmlformats.org/officeDocument/2006/relationships/hyperlink" Target="http://www.floatrates.com/zar/pen/" TargetMode="External"/><Relationship Id="rId279" Type="http://schemas.openxmlformats.org/officeDocument/2006/relationships/hyperlink" Target="http://www.floatrates.com/daily/zar.xml" TargetMode="External"/><Relationship Id="rId444" Type="http://schemas.openxmlformats.org/officeDocument/2006/relationships/hyperlink" Target="http://www.floatrates.com/zar/bnd/" TargetMode="External"/><Relationship Id="rId43" Type="http://schemas.openxmlformats.org/officeDocument/2006/relationships/hyperlink" Target="http://www.floatrates.com/currency/zar/" TargetMode="External"/><Relationship Id="rId139" Type="http://schemas.openxmlformats.org/officeDocument/2006/relationships/hyperlink" Target="http://www.floatrates.com/currency/zar/" TargetMode="External"/><Relationship Id="rId290" Type="http://schemas.openxmlformats.org/officeDocument/2006/relationships/hyperlink" Target="http://www.floatrates.com/daily/zar.xml" TargetMode="External"/><Relationship Id="rId304" Type="http://schemas.openxmlformats.org/officeDocument/2006/relationships/hyperlink" Target="http://www.floatrates.com/zar/nok/" TargetMode="External"/><Relationship Id="rId346" Type="http://schemas.openxmlformats.org/officeDocument/2006/relationships/hyperlink" Target="http://www.floatrates.com/zar/gtq/" TargetMode="External"/><Relationship Id="rId388" Type="http://schemas.openxmlformats.org/officeDocument/2006/relationships/hyperlink" Target="http://www.floatrates.com/zar/lak/" TargetMode="External"/><Relationship Id="rId85" Type="http://schemas.openxmlformats.org/officeDocument/2006/relationships/hyperlink" Target="http://www.floatrates.com/currency/zar/" TargetMode="External"/><Relationship Id="rId150" Type="http://schemas.openxmlformats.org/officeDocument/2006/relationships/hyperlink" Target="http://www.floatrates.com/daily/zar.xml" TargetMode="External"/><Relationship Id="rId192" Type="http://schemas.openxmlformats.org/officeDocument/2006/relationships/hyperlink" Target="http://www.floatrates.com/daily/zar.xml" TargetMode="External"/><Relationship Id="rId206" Type="http://schemas.openxmlformats.org/officeDocument/2006/relationships/hyperlink" Target="http://www.floatrates.com/daily/zar.xml" TargetMode="External"/><Relationship Id="rId413" Type="http://schemas.openxmlformats.org/officeDocument/2006/relationships/hyperlink" Target="http://www.floatrates.com/zar/gyd/" TargetMode="External"/><Relationship Id="rId248" Type="http://schemas.openxmlformats.org/officeDocument/2006/relationships/hyperlink" Target="http://www.floatrates.com/daily/zar.xml" TargetMode="External"/><Relationship Id="rId12" Type="http://schemas.openxmlformats.org/officeDocument/2006/relationships/hyperlink" Target="http://www.floatrates.com/currency/zar/" TargetMode="External"/><Relationship Id="rId108" Type="http://schemas.openxmlformats.org/officeDocument/2006/relationships/hyperlink" Target="http://www.floatrates.com/currency/zar/" TargetMode="External"/><Relationship Id="rId315" Type="http://schemas.openxmlformats.org/officeDocument/2006/relationships/hyperlink" Target="http://www.floatrates.com/zar/bdt/" TargetMode="External"/><Relationship Id="rId357" Type="http://schemas.openxmlformats.org/officeDocument/2006/relationships/hyperlink" Target="http://www.floatrates.com/zar/clp/" TargetMode="External"/><Relationship Id="rId54" Type="http://schemas.openxmlformats.org/officeDocument/2006/relationships/hyperlink" Target="http://www.floatrates.com/currency/zar/" TargetMode="External"/><Relationship Id="rId96" Type="http://schemas.openxmlformats.org/officeDocument/2006/relationships/hyperlink" Target="http://www.floatrates.com/currency/zar/" TargetMode="External"/><Relationship Id="rId161" Type="http://schemas.openxmlformats.org/officeDocument/2006/relationships/hyperlink" Target="http://www.floatrates.com/daily/zar.xml" TargetMode="External"/><Relationship Id="rId217" Type="http://schemas.openxmlformats.org/officeDocument/2006/relationships/hyperlink" Target="http://www.floatrates.com/daily/zar.xml" TargetMode="External"/><Relationship Id="rId399" Type="http://schemas.openxmlformats.org/officeDocument/2006/relationships/hyperlink" Target="http://www.floatrates.com/zar/khr/" TargetMode="External"/><Relationship Id="rId259" Type="http://schemas.openxmlformats.org/officeDocument/2006/relationships/hyperlink" Target="http://www.floatrates.com/daily/zar.xml" TargetMode="External"/><Relationship Id="rId424" Type="http://schemas.openxmlformats.org/officeDocument/2006/relationships/hyperlink" Target="http://www.floatrates.com/zar/syp/" TargetMode="External"/><Relationship Id="rId23" Type="http://schemas.openxmlformats.org/officeDocument/2006/relationships/hyperlink" Target="http://www.floatrates.com/currency/zar/" TargetMode="External"/><Relationship Id="rId119" Type="http://schemas.openxmlformats.org/officeDocument/2006/relationships/hyperlink" Target="http://www.floatrates.com/currency/zar/" TargetMode="External"/><Relationship Id="rId270" Type="http://schemas.openxmlformats.org/officeDocument/2006/relationships/hyperlink" Target="http://www.floatrates.com/daily/zar.xml" TargetMode="External"/><Relationship Id="rId326" Type="http://schemas.openxmlformats.org/officeDocument/2006/relationships/hyperlink" Target="http://www.floatrates.com/zar/lrd/" TargetMode="External"/><Relationship Id="rId65" Type="http://schemas.openxmlformats.org/officeDocument/2006/relationships/hyperlink" Target="http://www.floatrates.com/currency/zar/" TargetMode="External"/><Relationship Id="rId130" Type="http://schemas.openxmlformats.org/officeDocument/2006/relationships/hyperlink" Target="http://www.floatrates.com/currency/zar/" TargetMode="External"/><Relationship Id="rId368" Type="http://schemas.openxmlformats.org/officeDocument/2006/relationships/hyperlink" Target="http://www.floatrates.com/zar/ron/" TargetMode="External"/><Relationship Id="rId172" Type="http://schemas.openxmlformats.org/officeDocument/2006/relationships/hyperlink" Target="http://www.floatrates.com/daily/zar.xml" TargetMode="External"/><Relationship Id="rId228" Type="http://schemas.openxmlformats.org/officeDocument/2006/relationships/hyperlink" Target="http://www.floatrates.com/daily/zar.xml" TargetMode="External"/><Relationship Id="rId435" Type="http://schemas.openxmlformats.org/officeDocument/2006/relationships/hyperlink" Target="http://www.floatrates.com/zar/kwd/" TargetMode="External"/><Relationship Id="rId281" Type="http://schemas.openxmlformats.org/officeDocument/2006/relationships/hyperlink" Target="http://www.floatrates.com/daily/zar.xml" TargetMode="External"/><Relationship Id="rId337" Type="http://schemas.openxmlformats.org/officeDocument/2006/relationships/hyperlink" Target="http://www.floatrates.com/zar/top/" TargetMode="External"/><Relationship Id="rId34" Type="http://schemas.openxmlformats.org/officeDocument/2006/relationships/hyperlink" Target="http://www.floatrates.com/currency/zar/" TargetMode="External"/><Relationship Id="rId76" Type="http://schemas.openxmlformats.org/officeDocument/2006/relationships/hyperlink" Target="http://www.floatrates.com/currency/zar/" TargetMode="External"/><Relationship Id="rId141" Type="http://schemas.openxmlformats.org/officeDocument/2006/relationships/hyperlink" Target="http://www.floatrates.com/currency/zar/" TargetMode="External"/><Relationship Id="rId379" Type="http://schemas.openxmlformats.org/officeDocument/2006/relationships/hyperlink" Target="http://www.floatrates.com/zar/srd/" TargetMode="External"/><Relationship Id="rId7" Type="http://schemas.openxmlformats.org/officeDocument/2006/relationships/hyperlink" Target="http://www.floatrates.com/currency/zar/" TargetMode="External"/><Relationship Id="rId183" Type="http://schemas.openxmlformats.org/officeDocument/2006/relationships/hyperlink" Target="http://www.floatrates.com/daily/zar.xml" TargetMode="External"/><Relationship Id="rId239" Type="http://schemas.openxmlformats.org/officeDocument/2006/relationships/hyperlink" Target="http://www.floatrates.com/daily/zar.xml" TargetMode="External"/><Relationship Id="rId390" Type="http://schemas.openxmlformats.org/officeDocument/2006/relationships/hyperlink" Target="http://www.floatrates.com/zar/bhd/" TargetMode="External"/><Relationship Id="rId404" Type="http://schemas.openxmlformats.org/officeDocument/2006/relationships/hyperlink" Target="http://www.floatrates.com/zar/bsd/" TargetMode="External"/><Relationship Id="rId446" Type="http://schemas.openxmlformats.org/officeDocument/2006/relationships/table" Target="../tables/table1.xml"/><Relationship Id="rId250" Type="http://schemas.openxmlformats.org/officeDocument/2006/relationships/hyperlink" Target="http://www.floatrates.com/daily/zar.xml" TargetMode="External"/><Relationship Id="rId292" Type="http://schemas.openxmlformats.org/officeDocument/2006/relationships/hyperlink" Target="http://www.floatrates.com/daily/zar.xml" TargetMode="External"/><Relationship Id="rId306" Type="http://schemas.openxmlformats.org/officeDocument/2006/relationships/hyperlink" Target="http://www.floatrates.com/zar/ngn/" TargetMode="External"/><Relationship Id="rId45" Type="http://schemas.openxmlformats.org/officeDocument/2006/relationships/hyperlink" Target="http://www.floatrates.com/currency/zar/" TargetMode="External"/><Relationship Id="rId87" Type="http://schemas.openxmlformats.org/officeDocument/2006/relationships/hyperlink" Target="http://www.floatrates.com/currency/zar/" TargetMode="External"/><Relationship Id="rId110" Type="http://schemas.openxmlformats.org/officeDocument/2006/relationships/hyperlink" Target="http://www.floatrates.com/currency/zar/" TargetMode="External"/><Relationship Id="rId348" Type="http://schemas.openxmlformats.org/officeDocument/2006/relationships/hyperlink" Target="http://www.floatrates.com/zar/myr/" TargetMode="External"/><Relationship Id="rId152" Type="http://schemas.openxmlformats.org/officeDocument/2006/relationships/hyperlink" Target="http://www.floatrates.com/daily/zar.xml" TargetMode="External"/><Relationship Id="rId194" Type="http://schemas.openxmlformats.org/officeDocument/2006/relationships/hyperlink" Target="http://www.floatrates.com/daily/zar.xml" TargetMode="External"/><Relationship Id="rId208" Type="http://schemas.openxmlformats.org/officeDocument/2006/relationships/hyperlink" Target="http://www.floatrates.com/daily/zar.xml" TargetMode="External"/><Relationship Id="rId415" Type="http://schemas.openxmlformats.org/officeDocument/2006/relationships/hyperlink" Target="http://www.floatrates.com/zar/szl/" TargetMode="External"/><Relationship Id="rId261" Type="http://schemas.openxmlformats.org/officeDocument/2006/relationships/hyperlink" Target="http://www.floatrates.com/daily/zar.xml" TargetMode="External"/><Relationship Id="rId14" Type="http://schemas.openxmlformats.org/officeDocument/2006/relationships/hyperlink" Target="http://www.floatrates.com/currency/zar/" TargetMode="External"/><Relationship Id="rId56" Type="http://schemas.openxmlformats.org/officeDocument/2006/relationships/hyperlink" Target="http://www.floatrates.com/currency/zar/" TargetMode="External"/><Relationship Id="rId317" Type="http://schemas.openxmlformats.org/officeDocument/2006/relationships/hyperlink" Target="http://www.floatrates.com/zar/fjd/" TargetMode="External"/><Relationship Id="rId359" Type="http://schemas.openxmlformats.org/officeDocument/2006/relationships/hyperlink" Target="http://www.floatrates.com/zar/brl/" TargetMode="External"/><Relationship Id="rId98" Type="http://schemas.openxmlformats.org/officeDocument/2006/relationships/hyperlink" Target="http://www.floatrates.com/currency/zar/" TargetMode="External"/><Relationship Id="rId121" Type="http://schemas.openxmlformats.org/officeDocument/2006/relationships/hyperlink" Target="http://www.floatrates.com/currency/zar/" TargetMode="External"/><Relationship Id="rId163" Type="http://schemas.openxmlformats.org/officeDocument/2006/relationships/hyperlink" Target="http://www.floatrates.com/daily/zar.xml" TargetMode="External"/><Relationship Id="rId219" Type="http://schemas.openxmlformats.org/officeDocument/2006/relationships/hyperlink" Target="http://www.floatrates.com/daily/zar.xml" TargetMode="External"/><Relationship Id="rId370" Type="http://schemas.openxmlformats.org/officeDocument/2006/relationships/hyperlink" Target="http://www.floatrates.com/zar/crc/" TargetMode="External"/><Relationship Id="rId426" Type="http://schemas.openxmlformats.org/officeDocument/2006/relationships/hyperlink" Target="http://www.floatrates.com/zar/vuv/" TargetMode="External"/><Relationship Id="rId230" Type="http://schemas.openxmlformats.org/officeDocument/2006/relationships/hyperlink" Target="http://www.floatrates.com/daily/zar.xml" TargetMode="External"/><Relationship Id="rId25" Type="http://schemas.openxmlformats.org/officeDocument/2006/relationships/hyperlink" Target="http://www.floatrates.com/currency/zar/" TargetMode="External"/><Relationship Id="rId67" Type="http://schemas.openxmlformats.org/officeDocument/2006/relationships/hyperlink" Target="http://www.floatrates.com/currency/zar/" TargetMode="External"/><Relationship Id="rId272" Type="http://schemas.openxmlformats.org/officeDocument/2006/relationships/hyperlink" Target="http://www.floatrates.com/daily/zar.xml" TargetMode="External"/><Relationship Id="rId328" Type="http://schemas.openxmlformats.org/officeDocument/2006/relationships/hyperlink" Target="http://www.floatrates.com/zar/mzn/" TargetMode="External"/><Relationship Id="rId132" Type="http://schemas.openxmlformats.org/officeDocument/2006/relationships/hyperlink" Target="http://www.floatrates.com/currency/zar/" TargetMode="External"/><Relationship Id="rId174" Type="http://schemas.openxmlformats.org/officeDocument/2006/relationships/hyperlink" Target="http://www.floatrates.com/daily/zar.xml" TargetMode="External"/><Relationship Id="rId381" Type="http://schemas.openxmlformats.org/officeDocument/2006/relationships/hyperlink" Target="http://www.floatrates.com/zar/mru/" TargetMode="External"/><Relationship Id="rId241" Type="http://schemas.openxmlformats.org/officeDocument/2006/relationships/hyperlink" Target="http://www.floatrates.com/daily/zar.xml" TargetMode="External"/><Relationship Id="rId437" Type="http://schemas.openxmlformats.org/officeDocument/2006/relationships/hyperlink" Target="http://www.floatrates.com/zar/ttd/" TargetMode="External"/><Relationship Id="rId36" Type="http://schemas.openxmlformats.org/officeDocument/2006/relationships/hyperlink" Target="http://www.floatrates.com/currency/zar/" TargetMode="External"/><Relationship Id="rId283" Type="http://schemas.openxmlformats.org/officeDocument/2006/relationships/hyperlink" Target="http://www.floatrates.com/daily/zar.xml" TargetMode="External"/><Relationship Id="rId339" Type="http://schemas.openxmlformats.org/officeDocument/2006/relationships/hyperlink" Target="http://www.floatrates.com/zar/krw/" TargetMode="External"/><Relationship Id="rId78" Type="http://schemas.openxmlformats.org/officeDocument/2006/relationships/hyperlink" Target="http://www.floatrates.com/currency/zar/" TargetMode="External"/><Relationship Id="rId101" Type="http://schemas.openxmlformats.org/officeDocument/2006/relationships/hyperlink" Target="http://www.floatrates.com/currency/zar/" TargetMode="External"/><Relationship Id="rId143" Type="http://schemas.openxmlformats.org/officeDocument/2006/relationships/hyperlink" Target="http://www.floatrates.com/currency/zar/" TargetMode="External"/><Relationship Id="rId185" Type="http://schemas.openxmlformats.org/officeDocument/2006/relationships/hyperlink" Target="http://www.floatrates.com/daily/zar.xml" TargetMode="External"/><Relationship Id="rId350" Type="http://schemas.openxmlformats.org/officeDocument/2006/relationships/hyperlink" Target="http://www.floatrates.com/zar/aed/" TargetMode="External"/><Relationship Id="rId406" Type="http://schemas.openxmlformats.org/officeDocument/2006/relationships/hyperlink" Target="http://www.floatrates.com/zar/all/" TargetMode="External"/><Relationship Id="rId9" Type="http://schemas.openxmlformats.org/officeDocument/2006/relationships/hyperlink" Target="http://www.floatrates.com/currency/zar/" TargetMode="External"/><Relationship Id="rId210" Type="http://schemas.openxmlformats.org/officeDocument/2006/relationships/hyperlink" Target="http://www.floatrates.com/daily/zar.xml" TargetMode="External"/><Relationship Id="rId392" Type="http://schemas.openxmlformats.org/officeDocument/2006/relationships/hyperlink" Target="http://www.floatrates.com/zar/npr/" TargetMode="External"/><Relationship Id="rId252" Type="http://schemas.openxmlformats.org/officeDocument/2006/relationships/hyperlink" Target="http://www.floatrates.com/daily/zar.xml" TargetMode="External"/><Relationship Id="rId294" Type="http://schemas.openxmlformats.org/officeDocument/2006/relationships/hyperlink" Target="http://www.floatrates.com/daily/zar.xml" TargetMode="External"/><Relationship Id="rId308" Type="http://schemas.openxmlformats.org/officeDocument/2006/relationships/hyperlink" Target="http://www.floatrates.com/zar/stn/" TargetMode="External"/><Relationship Id="rId47" Type="http://schemas.openxmlformats.org/officeDocument/2006/relationships/hyperlink" Target="http://www.floatrates.com/currency/zar/" TargetMode="External"/><Relationship Id="rId89" Type="http://schemas.openxmlformats.org/officeDocument/2006/relationships/hyperlink" Target="http://www.floatrates.com/currency/zar/" TargetMode="External"/><Relationship Id="rId112" Type="http://schemas.openxmlformats.org/officeDocument/2006/relationships/hyperlink" Target="http://www.floatrates.com/currency/zar/" TargetMode="External"/><Relationship Id="rId154" Type="http://schemas.openxmlformats.org/officeDocument/2006/relationships/hyperlink" Target="http://www.floatrates.com/daily/zar.xml" TargetMode="External"/><Relationship Id="rId361" Type="http://schemas.openxmlformats.org/officeDocument/2006/relationships/hyperlink" Target="http://www.floatrates.com/zar/pyg/" TargetMode="External"/><Relationship Id="rId196" Type="http://schemas.openxmlformats.org/officeDocument/2006/relationships/hyperlink" Target="http://www.floatrates.com/daily/zar.xml" TargetMode="External"/><Relationship Id="rId417" Type="http://schemas.openxmlformats.org/officeDocument/2006/relationships/hyperlink" Target="http://www.floatrates.com/zar/cny/" TargetMode="External"/><Relationship Id="rId16" Type="http://schemas.openxmlformats.org/officeDocument/2006/relationships/hyperlink" Target="http://www.floatrates.com/currency/zar/" TargetMode="External"/><Relationship Id="rId221" Type="http://schemas.openxmlformats.org/officeDocument/2006/relationships/hyperlink" Target="http://www.floatrates.com/daily/zar.xml" TargetMode="External"/><Relationship Id="rId263" Type="http://schemas.openxmlformats.org/officeDocument/2006/relationships/hyperlink" Target="http://www.floatrates.com/daily/zar.xml" TargetMode="External"/><Relationship Id="rId319" Type="http://schemas.openxmlformats.org/officeDocument/2006/relationships/hyperlink" Target="http://www.floatrates.com/zar/sll/" TargetMode="External"/><Relationship Id="rId58" Type="http://schemas.openxmlformats.org/officeDocument/2006/relationships/hyperlink" Target="http://www.floatrates.com/currency/zar/" TargetMode="External"/><Relationship Id="rId123" Type="http://schemas.openxmlformats.org/officeDocument/2006/relationships/hyperlink" Target="http://www.floatrates.com/currency/zar/" TargetMode="External"/><Relationship Id="rId330" Type="http://schemas.openxmlformats.org/officeDocument/2006/relationships/hyperlink" Target="http://www.floatrates.com/zar/idr/" TargetMode="External"/><Relationship Id="rId165" Type="http://schemas.openxmlformats.org/officeDocument/2006/relationships/hyperlink" Target="http://www.floatrates.com/daily/zar.xml" TargetMode="External"/><Relationship Id="rId372" Type="http://schemas.openxmlformats.org/officeDocument/2006/relationships/hyperlink" Target="http://www.floatrates.com/zar/ssp/" TargetMode="External"/><Relationship Id="rId428" Type="http://schemas.openxmlformats.org/officeDocument/2006/relationships/hyperlink" Target="http://www.floatrates.com/zar/sek/" TargetMode="External"/><Relationship Id="rId232" Type="http://schemas.openxmlformats.org/officeDocument/2006/relationships/hyperlink" Target="http://www.floatrates.com/daily/zar.xml" TargetMode="External"/><Relationship Id="rId274" Type="http://schemas.openxmlformats.org/officeDocument/2006/relationships/hyperlink" Target="http://www.floatrates.com/daily/zar.xml" TargetMode="External"/><Relationship Id="rId27" Type="http://schemas.openxmlformats.org/officeDocument/2006/relationships/hyperlink" Target="http://www.floatrates.com/currency/zar/" TargetMode="External"/><Relationship Id="rId69" Type="http://schemas.openxmlformats.org/officeDocument/2006/relationships/hyperlink" Target="http://www.floatrates.com/currency/zar/" TargetMode="External"/><Relationship Id="rId134" Type="http://schemas.openxmlformats.org/officeDocument/2006/relationships/hyperlink" Target="http://www.floatrates.com/currency/zar/" TargetMode="External"/><Relationship Id="rId80" Type="http://schemas.openxmlformats.org/officeDocument/2006/relationships/hyperlink" Target="http://www.floatrates.com/currency/zar/" TargetMode="External"/><Relationship Id="rId176" Type="http://schemas.openxmlformats.org/officeDocument/2006/relationships/hyperlink" Target="http://www.floatrates.com/daily/zar.xml" TargetMode="External"/><Relationship Id="rId341" Type="http://schemas.openxmlformats.org/officeDocument/2006/relationships/hyperlink" Target="http://www.floatrates.com/zar/xof/" TargetMode="External"/><Relationship Id="rId383" Type="http://schemas.openxmlformats.org/officeDocument/2006/relationships/hyperlink" Target="http://www.floatrates.com/zar/kzt/" TargetMode="External"/><Relationship Id="rId439" Type="http://schemas.openxmlformats.org/officeDocument/2006/relationships/hyperlink" Target="http://www.floatrates.com/zar/irr/" TargetMode="External"/><Relationship Id="rId201" Type="http://schemas.openxmlformats.org/officeDocument/2006/relationships/hyperlink" Target="http://www.floatrates.com/daily/zar.xml" TargetMode="External"/><Relationship Id="rId243" Type="http://schemas.openxmlformats.org/officeDocument/2006/relationships/hyperlink" Target="http://www.floatrates.com/daily/zar.xml" TargetMode="External"/><Relationship Id="rId285" Type="http://schemas.openxmlformats.org/officeDocument/2006/relationships/hyperlink" Target="http://www.floatrates.com/daily/zar.xml" TargetMode="External"/><Relationship Id="rId38" Type="http://schemas.openxmlformats.org/officeDocument/2006/relationships/hyperlink" Target="http://www.floatrates.com/currency/zar/" TargetMode="External"/><Relationship Id="rId103" Type="http://schemas.openxmlformats.org/officeDocument/2006/relationships/hyperlink" Target="http://www.floatrates.com/currency/zar/" TargetMode="External"/><Relationship Id="rId310" Type="http://schemas.openxmlformats.org/officeDocument/2006/relationships/hyperlink" Target="http://www.floatrates.com/zar/gel/" TargetMode="External"/><Relationship Id="rId91" Type="http://schemas.openxmlformats.org/officeDocument/2006/relationships/hyperlink" Target="http://www.floatrates.com/currency/zar/" TargetMode="External"/><Relationship Id="rId145" Type="http://schemas.openxmlformats.org/officeDocument/2006/relationships/hyperlink" Target="http://www.floatrates.com/currency/zar/" TargetMode="External"/><Relationship Id="rId187" Type="http://schemas.openxmlformats.org/officeDocument/2006/relationships/hyperlink" Target="http://www.floatrates.com/daily/zar.xml" TargetMode="External"/><Relationship Id="rId352" Type="http://schemas.openxmlformats.org/officeDocument/2006/relationships/hyperlink" Target="http://www.floatrates.com/zar/jod/" TargetMode="External"/><Relationship Id="rId394" Type="http://schemas.openxmlformats.org/officeDocument/2006/relationships/hyperlink" Target="http://www.floatrates.com/zar/vnd/" TargetMode="External"/><Relationship Id="rId408" Type="http://schemas.openxmlformats.org/officeDocument/2006/relationships/hyperlink" Target="http://www.floatrates.com/zar/czk/" TargetMode="External"/><Relationship Id="rId212" Type="http://schemas.openxmlformats.org/officeDocument/2006/relationships/hyperlink" Target="http://www.floatrates.com/daily/zar.xml" TargetMode="External"/><Relationship Id="rId254" Type="http://schemas.openxmlformats.org/officeDocument/2006/relationships/hyperlink" Target="http://www.floatrates.com/daily/zar.xml" TargetMode="External"/><Relationship Id="rId49" Type="http://schemas.openxmlformats.org/officeDocument/2006/relationships/hyperlink" Target="http://www.floatrates.com/currency/zar/" TargetMode="External"/><Relationship Id="rId114" Type="http://schemas.openxmlformats.org/officeDocument/2006/relationships/hyperlink" Target="http://www.floatrates.com/currency/zar/" TargetMode="External"/><Relationship Id="rId296" Type="http://schemas.openxmlformats.org/officeDocument/2006/relationships/hyperlink" Target="http://www.floatrates.com/daily/zar.xml" TargetMode="External"/><Relationship Id="rId60" Type="http://schemas.openxmlformats.org/officeDocument/2006/relationships/hyperlink" Target="http://www.floatrates.com/currency/zar/" TargetMode="External"/><Relationship Id="rId156" Type="http://schemas.openxmlformats.org/officeDocument/2006/relationships/hyperlink" Target="http://www.floatrates.com/daily/zar.xml" TargetMode="External"/><Relationship Id="rId198" Type="http://schemas.openxmlformats.org/officeDocument/2006/relationships/hyperlink" Target="http://www.floatrates.com/daily/zar.xml" TargetMode="External"/><Relationship Id="rId321" Type="http://schemas.openxmlformats.org/officeDocument/2006/relationships/hyperlink" Target="http://www.floatrates.com/zar/huf/" TargetMode="External"/><Relationship Id="rId363" Type="http://schemas.openxmlformats.org/officeDocument/2006/relationships/hyperlink" Target="http://www.floatrates.com/zar/cdf/" TargetMode="External"/><Relationship Id="rId419" Type="http://schemas.openxmlformats.org/officeDocument/2006/relationships/hyperlink" Target="http://www.floatrates.com/zar/sgd/" TargetMode="External"/><Relationship Id="rId223" Type="http://schemas.openxmlformats.org/officeDocument/2006/relationships/hyperlink" Target="http://www.floatrates.com/daily/zar.xml" TargetMode="External"/><Relationship Id="rId430" Type="http://schemas.openxmlformats.org/officeDocument/2006/relationships/hyperlink" Target="http://www.floatrates.com/zar/uzs/" TargetMode="External"/><Relationship Id="rId18" Type="http://schemas.openxmlformats.org/officeDocument/2006/relationships/hyperlink" Target="http://www.floatrates.com/currency/zar/" TargetMode="External"/><Relationship Id="rId39" Type="http://schemas.openxmlformats.org/officeDocument/2006/relationships/hyperlink" Target="http://www.floatrates.com/currency/zar/" TargetMode="External"/><Relationship Id="rId265" Type="http://schemas.openxmlformats.org/officeDocument/2006/relationships/hyperlink" Target="http://www.floatrates.com/daily/zar.xml" TargetMode="External"/><Relationship Id="rId286" Type="http://schemas.openxmlformats.org/officeDocument/2006/relationships/hyperlink" Target="http://www.floatrates.com/daily/zar.xml" TargetMode="External"/><Relationship Id="rId50" Type="http://schemas.openxmlformats.org/officeDocument/2006/relationships/hyperlink" Target="http://www.floatrates.com/currency/zar/" TargetMode="External"/><Relationship Id="rId104" Type="http://schemas.openxmlformats.org/officeDocument/2006/relationships/hyperlink" Target="http://www.floatrates.com/currency/zar/" TargetMode="External"/><Relationship Id="rId125" Type="http://schemas.openxmlformats.org/officeDocument/2006/relationships/hyperlink" Target="http://www.floatrates.com/currency/zar/" TargetMode="External"/><Relationship Id="rId146" Type="http://schemas.openxmlformats.org/officeDocument/2006/relationships/hyperlink" Target="http://www.floatrates.com/currency/zar/" TargetMode="External"/><Relationship Id="rId167" Type="http://schemas.openxmlformats.org/officeDocument/2006/relationships/hyperlink" Target="http://www.floatrates.com/daily/zar.xml" TargetMode="External"/><Relationship Id="rId188" Type="http://schemas.openxmlformats.org/officeDocument/2006/relationships/hyperlink" Target="http://www.floatrates.com/daily/zar.xml" TargetMode="External"/><Relationship Id="rId311" Type="http://schemas.openxmlformats.org/officeDocument/2006/relationships/hyperlink" Target="http://www.floatrates.com/zar/scr/" TargetMode="External"/><Relationship Id="rId332" Type="http://schemas.openxmlformats.org/officeDocument/2006/relationships/hyperlink" Target="http://www.floatrates.com/zar/mxn/" TargetMode="External"/><Relationship Id="rId353" Type="http://schemas.openxmlformats.org/officeDocument/2006/relationships/hyperlink" Target="http://www.floatrates.com/zar/mad/" TargetMode="External"/><Relationship Id="rId374" Type="http://schemas.openxmlformats.org/officeDocument/2006/relationships/hyperlink" Target="http://www.floatrates.com/zar/wst/" TargetMode="External"/><Relationship Id="rId395" Type="http://schemas.openxmlformats.org/officeDocument/2006/relationships/hyperlink" Target="http://www.floatrates.com/zar/rsd/" TargetMode="External"/><Relationship Id="rId409" Type="http://schemas.openxmlformats.org/officeDocument/2006/relationships/hyperlink" Target="http://www.floatrates.com/zar/qar/" TargetMode="External"/><Relationship Id="rId71" Type="http://schemas.openxmlformats.org/officeDocument/2006/relationships/hyperlink" Target="http://www.floatrates.com/currency/zar/" TargetMode="External"/><Relationship Id="rId92" Type="http://schemas.openxmlformats.org/officeDocument/2006/relationships/hyperlink" Target="http://www.floatrates.com/currency/zar/" TargetMode="External"/><Relationship Id="rId213" Type="http://schemas.openxmlformats.org/officeDocument/2006/relationships/hyperlink" Target="http://www.floatrates.com/daily/zar.xml" TargetMode="External"/><Relationship Id="rId234" Type="http://schemas.openxmlformats.org/officeDocument/2006/relationships/hyperlink" Target="http://www.floatrates.com/daily/zar.xml" TargetMode="External"/><Relationship Id="rId420" Type="http://schemas.openxmlformats.org/officeDocument/2006/relationships/hyperlink" Target="http://www.floatrates.com/zar/try/" TargetMode="External"/><Relationship Id="rId2" Type="http://schemas.openxmlformats.org/officeDocument/2006/relationships/hyperlink" Target="http://www.floatrates.com/currency/zar/" TargetMode="External"/><Relationship Id="rId29" Type="http://schemas.openxmlformats.org/officeDocument/2006/relationships/hyperlink" Target="http://www.floatrates.com/currency/zar/" TargetMode="External"/><Relationship Id="rId255" Type="http://schemas.openxmlformats.org/officeDocument/2006/relationships/hyperlink" Target="http://www.floatrates.com/daily/zar.xml" TargetMode="External"/><Relationship Id="rId276" Type="http://schemas.openxmlformats.org/officeDocument/2006/relationships/hyperlink" Target="http://www.floatrates.com/daily/zar.xml" TargetMode="External"/><Relationship Id="rId297" Type="http://schemas.openxmlformats.org/officeDocument/2006/relationships/hyperlink" Target="http://www.floatrates.com/zar/usd/" TargetMode="External"/><Relationship Id="rId441" Type="http://schemas.openxmlformats.org/officeDocument/2006/relationships/hyperlink" Target="http://www.floatrates.com/zar/bif/" TargetMode="External"/><Relationship Id="rId40" Type="http://schemas.openxmlformats.org/officeDocument/2006/relationships/hyperlink" Target="http://www.floatrates.com/currency/zar/" TargetMode="External"/><Relationship Id="rId115" Type="http://schemas.openxmlformats.org/officeDocument/2006/relationships/hyperlink" Target="http://www.floatrates.com/currency/zar/" TargetMode="External"/><Relationship Id="rId136" Type="http://schemas.openxmlformats.org/officeDocument/2006/relationships/hyperlink" Target="http://www.floatrates.com/currency/zar/" TargetMode="External"/><Relationship Id="rId157" Type="http://schemas.openxmlformats.org/officeDocument/2006/relationships/hyperlink" Target="http://www.floatrates.com/daily/zar.xml" TargetMode="External"/><Relationship Id="rId178" Type="http://schemas.openxmlformats.org/officeDocument/2006/relationships/hyperlink" Target="http://www.floatrates.com/daily/zar.xml" TargetMode="External"/><Relationship Id="rId301" Type="http://schemas.openxmlformats.org/officeDocument/2006/relationships/hyperlink" Target="http://www.floatrates.com/zar/chf/" TargetMode="External"/><Relationship Id="rId322" Type="http://schemas.openxmlformats.org/officeDocument/2006/relationships/hyperlink" Target="http://www.floatrates.com/zar/sar/" TargetMode="External"/><Relationship Id="rId343" Type="http://schemas.openxmlformats.org/officeDocument/2006/relationships/hyperlink" Target="http://www.floatrates.com/zar/gmd/" TargetMode="External"/><Relationship Id="rId364" Type="http://schemas.openxmlformats.org/officeDocument/2006/relationships/hyperlink" Target="http://www.floatrates.com/zar/hnl/" TargetMode="External"/><Relationship Id="rId61" Type="http://schemas.openxmlformats.org/officeDocument/2006/relationships/hyperlink" Target="http://www.floatrates.com/currency/zar/" TargetMode="External"/><Relationship Id="rId82" Type="http://schemas.openxmlformats.org/officeDocument/2006/relationships/hyperlink" Target="http://www.floatrates.com/currency/zar/" TargetMode="External"/><Relationship Id="rId199" Type="http://schemas.openxmlformats.org/officeDocument/2006/relationships/hyperlink" Target="http://www.floatrates.com/daily/zar.xml" TargetMode="External"/><Relationship Id="rId203" Type="http://schemas.openxmlformats.org/officeDocument/2006/relationships/hyperlink" Target="http://www.floatrates.com/daily/zar.xml" TargetMode="External"/><Relationship Id="rId385" Type="http://schemas.openxmlformats.org/officeDocument/2006/relationships/hyperlink" Target="http://www.floatrates.com/zar/uah/" TargetMode="External"/><Relationship Id="rId19" Type="http://schemas.openxmlformats.org/officeDocument/2006/relationships/hyperlink" Target="http://www.floatrates.com/currency/zar/" TargetMode="External"/><Relationship Id="rId224" Type="http://schemas.openxmlformats.org/officeDocument/2006/relationships/hyperlink" Target="http://www.floatrates.com/daily/zar.xml" TargetMode="External"/><Relationship Id="rId245" Type="http://schemas.openxmlformats.org/officeDocument/2006/relationships/hyperlink" Target="http://www.floatrates.com/daily/zar.xml" TargetMode="External"/><Relationship Id="rId266" Type="http://schemas.openxmlformats.org/officeDocument/2006/relationships/hyperlink" Target="http://www.floatrates.com/daily/zar.xml" TargetMode="External"/><Relationship Id="rId287" Type="http://schemas.openxmlformats.org/officeDocument/2006/relationships/hyperlink" Target="http://www.floatrates.com/daily/zar.xml" TargetMode="External"/><Relationship Id="rId410" Type="http://schemas.openxmlformats.org/officeDocument/2006/relationships/hyperlink" Target="http://www.floatrates.com/zar/bgn/" TargetMode="External"/><Relationship Id="rId431" Type="http://schemas.openxmlformats.org/officeDocument/2006/relationships/hyperlink" Target="http://www.floatrates.com/zar/etb/" TargetMode="External"/><Relationship Id="rId30" Type="http://schemas.openxmlformats.org/officeDocument/2006/relationships/hyperlink" Target="http://www.floatrates.com/currency/zar/" TargetMode="External"/><Relationship Id="rId105" Type="http://schemas.openxmlformats.org/officeDocument/2006/relationships/hyperlink" Target="http://www.floatrates.com/currency/zar/" TargetMode="External"/><Relationship Id="rId126" Type="http://schemas.openxmlformats.org/officeDocument/2006/relationships/hyperlink" Target="http://www.floatrates.com/currency/zar/" TargetMode="External"/><Relationship Id="rId147" Type="http://schemas.openxmlformats.org/officeDocument/2006/relationships/hyperlink" Target="http://www.floatrates.com/currency/zar/" TargetMode="External"/><Relationship Id="rId168" Type="http://schemas.openxmlformats.org/officeDocument/2006/relationships/hyperlink" Target="http://www.floatrates.com/daily/zar.xml" TargetMode="External"/><Relationship Id="rId312" Type="http://schemas.openxmlformats.org/officeDocument/2006/relationships/hyperlink" Target="http://www.floatrates.com/zar/cop/" TargetMode="External"/><Relationship Id="rId333" Type="http://schemas.openxmlformats.org/officeDocument/2006/relationships/hyperlink" Target="http://www.floatrates.com/zar/tjs/" TargetMode="External"/><Relationship Id="rId354" Type="http://schemas.openxmlformats.org/officeDocument/2006/relationships/hyperlink" Target="http://www.floatrates.com/zar/djf/" TargetMode="External"/><Relationship Id="rId51" Type="http://schemas.openxmlformats.org/officeDocument/2006/relationships/hyperlink" Target="http://www.floatrates.com/currency/zar/" TargetMode="External"/><Relationship Id="rId72" Type="http://schemas.openxmlformats.org/officeDocument/2006/relationships/hyperlink" Target="http://www.floatrates.com/currency/zar/" TargetMode="External"/><Relationship Id="rId93" Type="http://schemas.openxmlformats.org/officeDocument/2006/relationships/hyperlink" Target="http://www.floatrates.com/currency/zar/" TargetMode="External"/><Relationship Id="rId189" Type="http://schemas.openxmlformats.org/officeDocument/2006/relationships/hyperlink" Target="http://www.floatrates.com/daily/zar.xml" TargetMode="External"/><Relationship Id="rId375" Type="http://schemas.openxmlformats.org/officeDocument/2006/relationships/hyperlink" Target="http://www.floatrates.com/zar/inr/" TargetMode="External"/><Relationship Id="rId396" Type="http://schemas.openxmlformats.org/officeDocument/2006/relationships/hyperlink" Target="http://www.floatrates.com/zar/iqd/" TargetMode="External"/><Relationship Id="rId3" Type="http://schemas.openxmlformats.org/officeDocument/2006/relationships/hyperlink" Target="http://www.floatrates.com/currency/zar/" TargetMode="External"/><Relationship Id="rId214" Type="http://schemas.openxmlformats.org/officeDocument/2006/relationships/hyperlink" Target="http://www.floatrates.com/daily/zar.xml" TargetMode="External"/><Relationship Id="rId235" Type="http://schemas.openxmlformats.org/officeDocument/2006/relationships/hyperlink" Target="http://www.floatrates.com/daily/zar.xml" TargetMode="External"/><Relationship Id="rId256" Type="http://schemas.openxmlformats.org/officeDocument/2006/relationships/hyperlink" Target="http://www.floatrates.com/daily/zar.xml" TargetMode="External"/><Relationship Id="rId277" Type="http://schemas.openxmlformats.org/officeDocument/2006/relationships/hyperlink" Target="http://www.floatrates.com/daily/zar.xml" TargetMode="External"/><Relationship Id="rId298" Type="http://schemas.openxmlformats.org/officeDocument/2006/relationships/hyperlink" Target="http://www.floatrates.com/zar/eur/" TargetMode="External"/><Relationship Id="rId400" Type="http://schemas.openxmlformats.org/officeDocument/2006/relationships/hyperlink" Target="http://www.floatrates.com/zar/omr/" TargetMode="External"/><Relationship Id="rId421" Type="http://schemas.openxmlformats.org/officeDocument/2006/relationships/hyperlink" Target="http://www.floatrates.com/zar/mdl/" TargetMode="External"/><Relationship Id="rId442" Type="http://schemas.openxmlformats.org/officeDocument/2006/relationships/hyperlink" Target="http://www.floatrates.com/zar/zmw/" TargetMode="External"/><Relationship Id="rId116" Type="http://schemas.openxmlformats.org/officeDocument/2006/relationships/hyperlink" Target="http://www.floatrates.com/currency/zar/" TargetMode="External"/><Relationship Id="rId137" Type="http://schemas.openxmlformats.org/officeDocument/2006/relationships/hyperlink" Target="http://www.floatrates.com/currency/zar/" TargetMode="External"/><Relationship Id="rId158" Type="http://schemas.openxmlformats.org/officeDocument/2006/relationships/hyperlink" Target="http://www.floatrates.com/daily/zar.xml" TargetMode="External"/><Relationship Id="rId302" Type="http://schemas.openxmlformats.org/officeDocument/2006/relationships/hyperlink" Target="http://www.floatrates.com/zar/cad/" TargetMode="External"/><Relationship Id="rId323" Type="http://schemas.openxmlformats.org/officeDocument/2006/relationships/hyperlink" Target="http://www.floatrates.com/zar/hrk/" TargetMode="External"/><Relationship Id="rId344" Type="http://schemas.openxmlformats.org/officeDocument/2006/relationships/hyperlink" Target="http://www.floatrates.com/zar/awg/" TargetMode="External"/><Relationship Id="rId20" Type="http://schemas.openxmlformats.org/officeDocument/2006/relationships/hyperlink" Target="http://www.floatrates.com/currency/zar/" TargetMode="External"/><Relationship Id="rId41" Type="http://schemas.openxmlformats.org/officeDocument/2006/relationships/hyperlink" Target="http://www.floatrates.com/currency/zar/" TargetMode="External"/><Relationship Id="rId62" Type="http://schemas.openxmlformats.org/officeDocument/2006/relationships/hyperlink" Target="http://www.floatrates.com/currency/zar/" TargetMode="External"/><Relationship Id="rId83" Type="http://schemas.openxmlformats.org/officeDocument/2006/relationships/hyperlink" Target="http://www.floatrates.com/currency/zar/" TargetMode="External"/><Relationship Id="rId179" Type="http://schemas.openxmlformats.org/officeDocument/2006/relationships/hyperlink" Target="http://www.floatrates.com/daily/zar.xml" TargetMode="External"/><Relationship Id="rId365" Type="http://schemas.openxmlformats.org/officeDocument/2006/relationships/hyperlink" Target="http://www.floatrates.com/zar/sos/" TargetMode="External"/><Relationship Id="rId386" Type="http://schemas.openxmlformats.org/officeDocument/2006/relationships/hyperlink" Target="http://www.floatrates.com/zar/svc/" TargetMode="External"/><Relationship Id="rId190" Type="http://schemas.openxmlformats.org/officeDocument/2006/relationships/hyperlink" Target="http://www.floatrates.com/daily/zar.xml" TargetMode="External"/><Relationship Id="rId204" Type="http://schemas.openxmlformats.org/officeDocument/2006/relationships/hyperlink" Target="http://www.floatrates.com/daily/zar.xml" TargetMode="External"/><Relationship Id="rId225" Type="http://schemas.openxmlformats.org/officeDocument/2006/relationships/hyperlink" Target="http://www.floatrates.com/daily/zar.xml" TargetMode="External"/><Relationship Id="rId246" Type="http://schemas.openxmlformats.org/officeDocument/2006/relationships/hyperlink" Target="http://www.floatrates.com/daily/zar.xml" TargetMode="External"/><Relationship Id="rId267" Type="http://schemas.openxmlformats.org/officeDocument/2006/relationships/hyperlink" Target="http://www.floatrates.com/daily/zar.xml" TargetMode="External"/><Relationship Id="rId288" Type="http://schemas.openxmlformats.org/officeDocument/2006/relationships/hyperlink" Target="http://www.floatrates.com/daily/zar.xml" TargetMode="External"/><Relationship Id="rId411" Type="http://schemas.openxmlformats.org/officeDocument/2006/relationships/hyperlink" Target="http://www.floatrates.com/zar/azn/" TargetMode="External"/><Relationship Id="rId432" Type="http://schemas.openxmlformats.org/officeDocument/2006/relationships/hyperlink" Target="http://www.floatrates.com/zar/sbd/" TargetMode="External"/><Relationship Id="rId106" Type="http://schemas.openxmlformats.org/officeDocument/2006/relationships/hyperlink" Target="http://www.floatrates.com/currency/zar/" TargetMode="External"/><Relationship Id="rId127" Type="http://schemas.openxmlformats.org/officeDocument/2006/relationships/hyperlink" Target="http://www.floatrates.com/currency/zar/" TargetMode="External"/><Relationship Id="rId313" Type="http://schemas.openxmlformats.org/officeDocument/2006/relationships/hyperlink" Target="http://www.floatrates.com/zar/pln/" TargetMode="External"/><Relationship Id="rId10" Type="http://schemas.openxmlformats.org/officeDocument/2006/relationships/hyperlink" Target="http://www.floatrates.com/currency/zar/" TargetMode="External"/><Relationship Id="rId31" Type="http://schemas.openxmlformats.org/officeDocument/2006/relationships/hyperlink" Target="http://www.floatrates.com/currency/zar/" TargetMode="External"/><Relationship Id="rId52" Type="http://schemas.openxmlformats.org/officeDocument/2006/relationships/hyperlink" Target="http://www.floatrates.com/currency/zar/" TargetMode="External"/><Relationship Id="rId73" Type="http://schemas.openxmlformats.org/officeDocument/2006/relationships/hyperlink" Target="http://www.floatrates.com/currency/zar/" TargetMode="External"/><Relationship Id="rId94" Type="http://schemas.openxmlformats.org/officeDocument/2006/relationships/hyperlink" Target="http://www.floatrates.com/currency/zar/" TargetMode="External"/><Relationship Id="rId148" Type="http://schemas.openxmlformats.org/officeDocument/2006/relationships/hyperlink" Target="http://www.floatrates.com/currency/zar/" TargetMode="External"/><Relationship Id="rId169" Type="http://schemas.openxmlformats.org/officeDocument/2006/relationships/hyperlink" Target="http://www.floatrates.com/daily/zar.xml" TargetMode="External"/><Relationship Id="rId334" Type="http://schemas.openxmlformats.org/officeDocument/2006/relationships/hyperlink" Target="http://www.floatrates.com/zar/pab/" TargetMode="External"/><Relationship Id="rId355" Type="http://schemas.openxmlformats.org/officeDocument/2006/relationships/hyperlink" Target="http://www.floatrates.com/zar/mmk/" TargetMode="External"/><Relationship Id="rId376" Type="http://schemas.openxmlformats.org/officeDocument/2006/relationships/hyperlink" Target="http://www.floatrates.com/zar/hkd/" TargetMode="External"/><Relationship Id="rId397" Type="http://schemas.openxmlformats.org/officeDocument/2006/relationships/hyperlink" Target="http://www.floatrates.com/zar/xpf/" TargetMode="External"/><Relationship Id="rId4" Type="http://schemas.openxmlformats.org/officeDocument/2006/relationships/hyperlink" Target="http://www.floatrates.com/currency/zar/" TargetMode="External"/><Relationship Id="rId180" Type="http://schemas.openxmlformats.org/officeDocument/2006/relationships/hyperlink" Target="http://www.floatrates.com/daily/zar.xml" TargetMode="External"/><Relationship Id="rId215" Type="http://schemas.openxmlformats.org/officeDocument/2006/relationships/hyperlink" Target="http://www.floatrates.com/daily/zar.xml" TargetMode="External"/><Relationship Id="rId236" Type="http://schemas.openxmlformats.org/officeDocument/2006/relationships/hyperlink" Target="http://www.floatrates.com/daily/zar.xml" TargetMode="External"/><Relationship Id="rId257" Type="http://schemas.openxmlformats.org/officeDocument/2006/relationships/hyperlink" Target="http://www.floatrates.com/daily/zar.xml" TargetMode="External"/><Relationship Id="rId278" Type="http://schemas.openxmlformats.org/officeDocument/2006/relationships/hyperlink" Target="http://www.floatrates.com/daily/zar.xml" TargetMode="External"/><Relationship Id="rId401" Type="http://schemas.openxmlformats.org/officeDocument/2006/relationships/hyperlink" Target="http://www.floatrates.com/zar/bbd/" TargetMode="External"/><Relationship Id="rId422" Type="http://schemas.openxmlformats.org/officeDocument/2006/relationships/hyperlink" Target="http://www.floatrates.com/zar/afn/" TargetMode="External"/><Relationship Id="rId443" Type="http://schemas.openxmlformats.org/officeDocument/2006/relationships/hyperlink" Target="http://www.floatrates.com/zar/yer/" TargetMode="External"/><Relationship Id="rId303" Type="http://schemas.openxmlformats.org/officeDocument/2006/relationships/hyperlink" Target="http://www.floatrates.com/zar/aud/" TargetMode="External"/><Relationship Id="rId42" Type="http://schemas.openxmlformats.org/officeDocument/2006/relationships/hyperlink" Target="http://www.floatrates.com/currency/zar/" TargetMode="External"/><Relationship Id="rId84" Type="http://schemas.openxmlformats.org/officeDocument/2006/relationships/hyperlink" Target="http://www.floatrates.com/currency/zar/" TargetMode="External"/><Relationship Id="rId138" Type="http://schemas.openxmlformats.org/officeDocument/2006/relationships/hyperlink" Target="http://www.floatrates.com/currency/zar/" TargetMode="External"/><Relationship Id="rId345" Type="http://schemas.openxmlformats.org/officeDocument/2006/relationships/hyperlink" Target="http://www.floatrates.com/zar/mwk/" TargetMode="External"/><Relationship Id="rId387" Type="http://schemas.openxmlformats.org/officeDocument/2006/relationships/hyperlink" Target="http://www.floatrates.com/zar/cve/" TargetMode="External"/><Relationship Id="rId191" Type="http://schemas.openxmlformats.org/officeDocument/2006/relationships/hyperlink" Target="http://www.floatrates.com/daily/zar.xml" TargetMode="External"/><Relationship Id="rId205" Type="http://schemas.openxmlformats.org/officeDocument/2006/relationships/hyperlink" Target="http://www.floatrates.com/daily/zar.xml" TargetMode="External"/><Relationship Id="rId247" Type="http://schemas.openxmlformats.org/officeDocument/2006/relationships/hyperlink" Target="http://www.floatrates.com/daily/zar.xml" TargetMode="External"/><Relationship Id="rId412" Type="http://schemas.openxmlformats.org/officeDocument/2006/relationships/hyperlink" Target="http://www.floatrates.com/zar/bob/" TargetMode="External"/><Relationship Id="rId107" Type="http://schemas.openxmlformats.org/officeDocument/2006/relationships/hyperlink" Target="http://www.floatrates.com/currency/zar/" TargetMode="External"/><Relationship Id="rId289" Type="http://schemas.openxmlformats.org/officeDocument/2006/relationships/hyperlink" Target="http://www.floatrates.com/daily/zar.xml" TargetMode="External"/><Relationship Id="rId11" Type="http://schemas.openxmlformats.org/officeDocument/2006/relationships/hyperlink" Target="http://www.floatrates.com/currency/zar/" TargetMode="External"/><Relationship Id="rId53" Type="http://schemas.openxmlformats.org/officeDocument/2006/relationships/hyperlink" Target="http://www.floatrates.com/currency/zar/" TargetMode="External"/><Relationship Id="rId149" Type="http://schemas.openxmlformats.org/officeDocument/2006/relationships/hyperlink" Target="http://www.floatrates.com/daily/zar.xml" TargetMode="External"/><Relationship Id="rId314" Type="http://schemas.openxmlformats.org/officeDocument/2006/relationships/hyperlink" Target="http://www.floatrates.com/zar/dop/" TargetMode="External"/><Relationship Id="rId356" Type="http://schemas.openxmlformats.org/officeDocument/2006/relationships/hyperlink" Target="http://www.floatrates.com/zar/mvr/" TargetMode="External"/><Relationship Id="rId398" Type="http://schemas.openxmlformats.org/officeDocument/2006/relationships/hyperlink" Target="http://www.floatrates.com/zar/aoa/" TargetMode="External"/><Relationship Id="rId95" Type="http://schemas.openxmlformats.org/officeDocument/2006/relationships/hyperlink" Target="http://www.floatrates.com/currency/zar/" TargetMode="External"/><Relationship Id="rId160" Type="http://schemas.openxmlformats.org/officeDocument/2006/relationships/hyperlink" Target="http://www.floatrates.com/daily/zar.xml" TargetMode="External"/><Relationship Id="rId216" Type="http://schemas.openxmlformats.org/officeDocument/2006/relationships/hyperlink" Target="http://www.floatrates.com/daily/zar.xml" TargetMode="External"/><Relationship Id="rId423" Type="http://schemas.openxmlformats.org/officeDocument/2006/relationships/hyperlink" Target="http://www.floatrates.com/zar/nad/" TargetMode="External"/><Relationship Id="rId258" Type="http://schemas.openxmlformats.org/officeDocument/2006/relationships/hyperlink" Target="http://www.floatrates.com/daily/zar.xml" TargetMode="External"/><Relationship Id="rId22" Type="http://schemas.openxmlformats.org/officeDocument/2006/relationships/hyperlink" Target="http://www.floatrates.com/currency/zar/" TargetMode="External"/><Relationship Id="rId64" Type="http://schemas.openxmlformats.org/officeDocument/2006/relationships/hyperlink" Target="http://www.floatrates.com/currency/zar/" TargetMode="External"/><Relationship Id="rId118" Type="http://schemas.openxmlformats.org/officeDocument/2006/relationships/hyperlink" Target="http://www.floatrates.com/currency/zar/" TargetMode="External"/><Relationship Id="rId325" Type="http://schemas.openxmlformats.org/officeDocument/2006/relationships/hyperlink" Target="http://www.floatrates.com/zar/nio/" TargetMode="External"/><Relationship Id="rId367" Type="http://schemas.openxmlformats.org/officeDocument/2006/relationships/hyperlink" Target="http://www.floatrates.com/zar/rub/" TargetMode="External"/><Relationship Id="rId171" Type="http://schemas.openxmlformats.org/officeDocument/2006/relationships/hyperlink" Target="http://www.floatrates.com/daily/zar.xml" TargetMode="External"/><Relationship Id="rId227" Type="http://schemas.openxmlformats.org/officeDocument/2006/relationships/hyperlink" Target="http://www.floatrates.com/daily/zar.xml" TargetMode="External"/><Relationship Id="rId269" Type="http://schemas.openxmlformats.org/officeDocument/2006/relationships/hyperlink" Target="http://www.floatrates.com/daily/zar.xml" TargetMode="External"/><Relationship Id="rId434" Type="http://schemas.openxmlformats.org/officeDocument/2006/relationships/hyperlink" Target="http://www.floatrates.com/zar/mop/" TargetMode="External"/><Relationship Id="rId33" Type="http://schemas.openxmlformats.org/officeDocument/2006/relationships/hyperlink" Target="http://www.floatrates.com/currency/zar/" TargetMode="External"/><Relationship Id="rId129" Type="http://schemas.openxmlformats.org/officeDocument/2006/relationships/hyperlink" Target="http://www.floatrates.com/currency/zar/" TargetMode="External"/><Relationship Id="rId280" Type="http://schemas.openxmlformats.org/officeDocument/2006/relationships/hyperlink" Target="http://www.floatrates.com/daily/zar.xml" TargetMode="External"/><Relationship Id="rId336" Type="http://schemas.openxmlformats.org/officeDocument/2006/relationships/hyperlink" Target="http://www.floatrates.com/zar/htg/" TargetMode="External"/><Relationship Id="rId75" Type="http://schemas.openxmlformats.org/officeDocument/2006/relationships/hyperlink" Target="http://www.floatrates.com/currency/zar/" TargetMode="External"/><Relationship Id="rId140" Type="http://schemas.openxmlformats.org/officeDocument/2006/relationships/hyperlink" Target="http://www.floatrates.com/currency/zar/" TargetMode="External"/><Relationship Id="rId182" Type="http://schemas.openxmlformats.org/officeDocument/2006/relationships/hyperlink" Target="http://www.floatrates.com/daily/zar.xml" TargetMode="External"/><Relationship Id="rId378" Type="http://schemas.openxmlformats.org/officeDocument/2006/relationships/hyperlink" Target="http://www.floatrates.com/zar/mga/" TargetMode="External"/><Relationship Id="rId403" Type="http://schemas.openxmlformats.org/officeDocument/2006/relationships/hyperlink" Target="http://www.floatrates.com/zar/ars/" TargetMode="External"/><Relationship Id="rId6" Type="http://schemas.openxmlformats.org/officeDocument/2006/relationships/hyperlink" Target="http://www.floatrates.com/currency/zar/" TargetMode="External"/><Relationship Id="rId238" Type="http://schemas.openxmlformats.org/officeDocument/2006/relationships/hyperlink" Target="http://www.floatrates.com/daily/zar.xml" TargetMode="External"/><Relationship Id="rId445" Type="http://schemas.openxmlformats.org/officeDocument/2006/relationships/customProperty" Target="../customProperty4.bin"/><Relationship Id="rId291" Type="http://schemas.openxmlformats.org/officeDocument/2006/relationships/hyperlink" Target="http://www.floatrates.com/daily/zar.xml" TargetMode="External"/><Relationship Id="rId305" Type="http://schemas.openxmlformats.org/officeDocument/2006/relationships/hyperlink" Target="http://www.floatrates.com/zar/vef/" TargetMode="External"/><Relationship Id="rId347" Type="http://schemas.openxmlformats.org/officeDocument/2006/relationships/hyperlink" Target="http://www.floatrates.com/zar/bwp/" TargetMode="External"/><Relationship Id="rId44" Type="http://schemas.openxmlformats.org/officeDocument/2006/relationships/hyperlink" Target="http://www.floatrates.com/currency/zar/" TargetMode="External"/><Relationship Id="rId86" Type="http://schemas.openxmlformats.org/officeDocument/2006/relationships/hyperlink" Target="http://www.floatrates.com/currency/zar/" TargetMode="External"/><Relationship Id="rId151" Type="http://schemas.openxmlformats.org/officeDocument/2006/relationships/hyperlink" Target="http://www.floatrates.com/daily/zar.xml" TargetMode="External"/><Relationship Id="rId389" Type="http://schemas.openxmlformats.org/officeDocument/2006/relationships/hyperlink" Target="http://www.floatrates.com/zar/cup/" TargetMode="External"/><Relationship Id="rId193" Type="http://schemas.openxmlformats.org/officeDocument/2006/relationships/hyperlink" Target="http://www.floatrates.com/daily/zar.xml" TargetMode="External"/><Relationship Id="rId207" Type="http://schemas.openxmlformats.org/officeDocument/2006/relationships/hyperlink" Target="http://www.floatrates.com/daily/zar.xml" TargetMode="External"/><Relationship Id="rId249" Type="http://schemas.openxmlformats.org/officeDocument/2006/relationships/hyperlink" Target="http://www.floatrates.com/daily/zar.xml" TargetMode="External"/><Relationship Id="rId414" Type="http://schemas.openxmlformats.org/officeDocument/2006/relationships/hyperlink" Target="http://www.floatrates.com/zar/gip/" TargetMode="External"/><Relationship Id="rId13" Type="http://schemas.openxmlformats.org/officeDocument/2006/relationships/hyperlink" Target="http://www.floatrates.com/currency/zar/" TargetMode="External"/><Relationship Id="rId109" Type="http://schemas.openxmlformats.org/officeDocument/2006/relationships/hyperlink" Target="http://www.floatrates.com/currency/zar/" TargetMode="External"/><Relationship Id="rId260" Type="http://schemas.openxmlformats.org/officeDocument/2006/relationships/hyperlink" Target="http://www.floatrates.com/daily/zar.xml" TargetMode="External"/><Relationship Id="rId316" Type="http://schemas.openxmlformats.org/officeDocument/2006/relationships/hyperlink" Target="http://www.floatrates.com/zar/uyu/" TargetMode="External"/><Relationship Id="rId55" Type="http://schemas.openxmlformats.org/officeDocument/2006/relationships/hyperlink" Target="http://www.floatrates.com/currency/zar/" TargetMode="External"/><Relationship Id="rId97" Type="http://schemas.openxmlformats.org/officeDocument/2006/relationships/hyperlink" Target="http://www.floatrates.com/currency/zar/" TargetMode="External"/><Relationship Id="rId120" Type="http://schemas.openxmlformats.org/officeDocument/2006/relationships/hyperlink" Target="http://www.floatrates.com/currency/zar/" TargetMode="External"/><Relationship Id="rId358" Type="http://schemas.openxmlformats.org/officeDocument/2006/relationships/hyperlink" Target="http://www.floatrates.com/zar/pkr/" TargetMode="External"/><Relationship Id="rId162" Type="http://schemas.openxmlformats.org/officeDocument/2006/relationships/hyperlink" Target="http://www.floatrates.com/daily/zar.xml" TargetMode="External"/><Relationship Id="rId218" Type="http://schemas.openxmlformats.org/officeDocument/2006/relationships/hyperlink" Target="http://www.floatrates.com/daily/zar.xml" TargetMode="External"/><Relationship Id="rId425" Type="http://schemas.openxmlformats.org/officeDocument/2006/relationships/hyperlink" Target="http://www.floatrates.com/zar/ern/" TargetMode="External"/><Relationship Id="rId271" Type="http://schemas.openxmlformats.org/officeDocument/2006/relationships/hyperlink" Target="http://www.floatrates.com/daily/zar.xml" TargetMode="External"/><Relationship Id="rId24" Type="http://schemas.openxmlformats.org/officeDocument/2006/relationships/hyperlink" Target="http://www.floatrates.com/currency/zar/" TargetMode="External"/><Relationship Id="rId66" Type="http://schemas.openxmlformats.org/officeDocument/2006/relationships/hyperlink" Target="http://www.floatrates.com/currency/zar/" TargetMode="External"/><Relationship Id="rId131" Type="http://schemas.openxmlformats.org/officeDocument/2006/relationships/hyperlink" Target="http://www.floatrates.com/currency/zar/" TargetMode="External"/><Relationship Id="rId327" Type="http://schemas.openxmlformats.org/officeDocument/2006/relationships/hyperlink" Target="http://www.floatrates.com/zar/sdg/" TargetMode="External"/><Relationship Id="rId369" Type="http://schemas.openxmlformats.org/officeDocument/2006/relationships/hyperlink" Target="http://www.floatrates.com/zar/amd/" TargetMode="External"/><Relationship Id="rId173" Type="http://schemas.openxmlformats.org/officeDocument/2006/relationships/hyperlink" Target="http://www.floatrates.com/daily/zar.xml" TargetMode="External"/><Relationship Id="rId229" Type="http://schemas.openxmlformats.org/officeDocument/2006/relationships/hyperlink" Target="http://www.floatrates.com/daily/zar.xml" TargetMode="External"/><Relationship Id="rId380" Type="http://schemas.openxmlformats.org/officeDocument/2006/relationships/hyperlink" Target="http://www.floatrates.com/zar/ghs/" TargetMode="External"/><Relationship Id="rId436" Type="http://schemas.openxmlformats.org/officeDocument/2006/relationships/hyperlink" Target="http://www.floatrates.com/zar/mur/" TargetMode="External"/><Relationship Id="rId240" Type="http://schemas.openxmlformats.org/officeDocument/2006/relationships/hyperlink" Target="http://www.floatrates.com/daily/zar.xml" TargetMode="External"/><Relationship Id="rId35" Type="http://schemas.openxmlformats.org/officeDocument/2006/relationships/hyperlink" Target="http://www.floatrates.com/currency/zar/" TargetMode="External"/><Relationship Id="rId77" Type="http://schemas.openxmlformats.org/officeDocument/2006/relationships/hyperlink" Target="http://www.floatrates.com/currency/zar/" TargetMode="External"/><Relationship Id="rId100" Type="http://schemas.openxmlformats.org/officeDocument/2006/relationships/hyperlink" Target="http://www.floatrates.com/currency/zar/" TargetMode="External"/><Relationship Id="rId282" Type="http://schemas.openxmlformats.org/officeDocument/2006/relationships/hyperlink" Target="http://www.floatrates.com/daily/zar.xml" TargetMode="External"/><Relationship Id="rId338" Type="http://schemas.openxmlformats.org/officeDocument/2006/relationships/hyperlink" Target="http://www.floatrates.com/zar/dzd/" TargetMode="External"/><Relationship Id="rId8" Type="http://schemas.openxmlformats.org/officeDocument/2006/relationships/hyperlink" Target="http://www.floatrates.com/currency/zar/" TargetMode="External"/><Relationship Id="rId142" Type="http://schemas.openxmlformats.org/officeDocument/2006/relationships/hyperlink" Target="http://www.floatrates.com/currency/zar/" TargetMode="External"/><Relationship Id="rId184" Type="http://schemas.openxmlformats.org/officeDocument/2006/relationships/hyperlink" Target="http://www.floatrates.com/daily/zar.xml" TargetMode="External"/><Relationship Id="rId391" Type="http://schemas.openxmlformats.org/officeDocument/2006/relationships/hyperlink" Target="http://www.floatrates.com/zar/lyd/" TargetMode="External"/><Relationship Id="rId405" Type="http://schemas.openxmlformats.org/officeDocument/2006/relationships/hyperlink" Target="http://www.floatrates.com/zar/kmf/" TargetMode="External"/><Relationship Id="rId251" Type="http://schemas.openxmlformats.org/officeDocument/2006/relationships/hyperlink" Target="http://www.floatrates.com/daily/zar.xml" TargetMode="External"/><Relationship Id="rId46" Type="http://schemas.openxmlformats.org/officeDocument/2006/relationships/hyperlink" Target="http://www.floatrates.com/currency/zar/" TargetMode="External"/><Relationship Id="rId293" Type="http://schemas.openxmlformats.org/officeDocument/2006/relationships/hyperlink" Target="http://www.floatrates.com/daily/zar.xml" TargetMode="External"/><Relationship Id="rId307" Type="http://schemas.openxmlformats.org/officeDocument/2006/relationships/hyperlink" Target="http://www.floatrates.com/zar/lbp/" TargetMode="External"/><Relationship Id="rId349" Type="http://schemas.openxmlformats.org/officeDocument/2006/relationships/hyperlink" Target="http://www.floatrates.com/zar/nzd/" TargetMode="External"/><Relationship Id="rId88" Type="http://schemas.openxmlformats.org/officeDocument/2006/relationships/hyperlink" Target="http://www.floatrates.com/currency/zar/" TargetMode="External"/><Relationship Id="rId111" Type="http://schemas.openxmlformats.org/officeDocument/2006/relationships/hyperlink" Target="http://www.floatrates.com/currency/zar/" TargetMode="External"/><Relationship Id="rId153" Type="http://schemas.openxmlformats.org/officeDocument/2006/relationships/hyperlink" Target="http://www.floatrates.com/daily/zar.xml" TargetMode="External"/><Relationship Id="rId195" Type="http://schemas.openxmlformats.org/officeDocument/2006/relationships/hyperlink" Target="http://www.floatrates.com/daily/zar.xml" TargetMode="External"/><Relationship Id="rId209" Type="http://schemas.openxmlformats.org/officeDocument/2006/relationships/hyperlink" Target="http://www.floatrates.com/daily/zar.xml" TargetMode="External"/><Relationship Id="rId360" Type="http://schemas.openxmlformats.org/officeDocument/2006/relationships/hyperlink" Target="http://www.floatrates.com/zar/byn/" TargetMode="External"/><Relationship Id="rId416" Type="http://schemas.openxmlformats.org/officeDocument/2006/relationships/hyperlink" Target="http://www.floatrates.com/zar/ugx/" TargetMode="External"/><Relationship Id="rId220" Type="http://schemas.openxmlformats.org/officeDocument/2006/relationships/hyperlink" Target="http://www.floatrates.com/daily/zar.xml" TargetMode="External"/><Relationship Id="rId15" Type="http://schemas.openxmlformats.org/officeDocument/2006/relationships/hyperlink" Target="http://www.floatrates.com/currency/zar/" TargetMode="External"/><Relationship Id="rId57" Type="http://schemas.openxmlformats.org/officeDocument/2006/relationships/hyperlink" Target="http://www.floatrates.com/currency/zar/" TargetMode="External"/><Relationship Id="rId262" Type="http://schemas.openxmlformats.org/officeDocument/2006/relationships/hyperlink" Target="http://www.floatrates.com/daily/zar.xml" TargetMode="External"/><Relationship Id="rId318" Type="http://schemas.openxmlformats.org/officeDocument/2006/relationships/hyperlink" Target="http://www.floatrates.com/zar/rwf/" TargetMode="External"/><Relationship Id="rId99" Type="http://schemas.openxmlformats.org/officeDocument/2006/relationships/hyperlink" Target="http://www.floatrates.com/currency/zar/" TargetMode="External"/><Relationship Id="rId122" Type="http://schemas.openxmlformats.org/officeDocument/2006/relationships/hyperlink" Target="http://www.floatrates.com/currency/zar/" TargetMode="External"/><Relationship Id="rId164" Type="http://schemas.openxmlformats.org/officeDocument/2006/relationships/hyperlink" Target="http://www.floatrates.com/daily/zar.xml" TargetMode="External"/><Relationship Id="rId371" Type="http://schemas.openxmlformats.org/officeDocument/2006/relationships/hyperlink" Target="http://www.floatrates.com/zar/jmd/" TargetMode="External"/><Relationship Id="rId427" Type="http://schemas.openxmlformats.org/officeDocument/2006/relationships/hyperlink" Target="http://www.floatrates.com/zar/ils/" TargetMode="External"/><Relationship Id="rId26" Type="http://schemas.openxmlformats.org/officeDocument/2006/relationships/hyperlink" Target="http://www.floatrates.com/currency/zar/" TargetMode="External"/><Relationship Id="rId231" Type="http://schemas.openxmlformats.org/officeDocument/2006/relationships/hyperlink" Target="http://www.floatrates.com/daily/zar.xml" TargetMode="External"/><Relationship Id="rId273" Type="http://schemas.openxmlformats.org/officeDocument/2006/relationships/hyperlink" Target="http://www.floatrates.com/daily/zar.xml" TargetMode="External"/><Relationship Id="rId329" Type="http://schemas.openxmlformats.org/officeDocument/2006/relationships/hyperlink" Target="http://www.floatrates.com/zar/mnt/" TargetMode="External"/><Relationship Id="rId68" Type="http://schemas.openxmlformats.org/officeDocument/2006/relationships/hyperlink" Target="http://www.floatrates.com/currency/zar/" TargetMode="External"/><Relationship Id="rId133" Type="http://schemas.openxmlformats.org/officeDocument/2006/relationships/hyperlink" Target="http://www.floatrates.com/currency/zar/" TargetMode="External"/><Relationship Id="rId175" Type="http://schemas.openxmlformats.org/officeDocument/2006/relationships/hyperlink" Target="http://www.floatrates.com/daily/zar.xml" TargetMode="External"/><Relationship Id="rId340" Type="http://schemas.openxmlformats.org/officeDocument/2006/relationships/hyperlink" Target="http://www.floatrates.com/zar/thb/" TargetMode="External"/><Relationship Id="rId200" Type="http://schemas.openxmlformats.org/officeDocument/2006/relationships/hyperlink" Target="http://www.floatrates.com/daily/zar.xml" TargetMode="External"/><Relationship Id="rId382" Type="http://schemas.openxmlformats.org/officeDocument/2006/relationships/hyperlink" Target="http://www.floatrates.com/zar/bam/" TargetMode="External"/><Relationship Id="rId438" Type="http://schemas.openxmlformats.org/officeDocument/2006/relationships/hyperlink" Target="http://www.floatrates.com/zar/twd/" TargetMode="External"/><Relationship Id="rId242" Type="http://schemas.openxmlformats.org/officeDocument/2006/relationships/hyperlink" Target="http://www.floatrates.com/daily/zar.xml" TargetMode="External"/><Relationship Id="rId284" Type="http://schemas.openxmlformats.org/officeDocument/2006/relationships/hyperlink" Target="http://www.floatrates.com/daily/zar.xml" TargetMode="External"/><Relationship Id="rId37" Type="http://schemas.openxmlformats.org/officeDocument/2006/relationships/hyperlink" Target="http://www.floatrates.com/currency/zar/" TargetMode="External"/><Relationship Id="rId79" Type="http://schemas.openxmlformats.org/officeDocument/2006/relationships/hyperlink" Target="http://www.floatrates.com/currency/zar/" TargetMode="External"/><Relationship Id="rId102" Type="http://schemas.openxmlformats.org/officeDocument/2006/relationships/hyperlink" Target="http://www.floatrates.com/currency/zar/" TargetMode="External"/><Relationship Id="rId144" Type="http://schemas.openxmlformats.org/officeDocument/2006/relationships/hyperlink" Target="http://www.floatrates.com/currency/zar/" TargetMode="External"/><Relationship Id="rId90" Type="http://schemas.openxmlformats.org/officeDocument/2006/relationships/hyperlink" Target="http://www.floatrates.com/currency/zar/" TargetMode="External"/><Relationship Id="rId186" Type="http://schemas.openxmlformats.org/officeDocument/2006/relationships/hyperlink" Target="http://www.floatrates.com/daily/zar.xml" TargetMode="External"/><Relationship Id="rId351" Type="http://schemas.openxmlformats.org/officeDocument/2006/relationships/hyperlink" Target="http://www.floatrates.com/zar/pgk/" TargetMode="External"/><Relationship Id="rId393" Type="http://schemas.openxmlformats.org/officeDocument/2006/relationships/hyperlink" Target="http://www.floatrates.com/zar/tnd/" TargetMode="External"/><Relationship Id="rId407" Type="http://schemas.openxmlformats.org/officeDocument/2006/relationships/hyperlink" Target="http://www.floatrates.com/zar/kes/" TargetMode="External"/><Relationship Id="rId211" Type="http://schemas.openxmlformats.org/officeDocument/2006/relationships/hyperlink" Target="http://www.floatrates.com/daily/zar.xml" TargetMode="External"/><Relationship Id="rId253" Type="http://schemas.openxmlformats.org/officeDocument/2006/relationships/hyperlink" Target="http://www.floatrates.com/daily/zar.xml" TargetMode="External"/><Relationship Id="rId295" Type="http://schemas.openxmlformats.org/officeDocument/2006/relationships/hyperlink" Target="http://www.floatrates.com/daily/zar.xml" TargetMode="External"/><Relationship Id="rId309" Type="http://schemas.openxmlformats.org/officeDocument/2006/relationships/hyperlink" Target="http://www.floatrates.com/zar/gnf/" TargetMode="External"/><Relationship Id="rId48" Type="http://schemas.openxmlformats.org/officeDocument/2006/relationships/hyperlink" Target="http://www.floatrates.com/currency/zar/" TargetMode="External"/><Relationship Id="rId113" Type="http://schemas.openxmlformats.org/officeDocument/2006/relationships/hyperlink" Target="http://www.floatrates.com/currency/zar/" TargetMode="External"/><Relationship Id="rId320" Type="http://schemas.openxmlformats.org/officeDocument/2006/relationships/hyperlink" Target="http://www.floatrates.com/zar/tzs/" TargetMode="External"/><Relationship Id="rId155" Type="http://schemas.openxmlformats.org/officeDocument/2006/relationships/hyperlink" Target="http://www.floatrates.com/daily/zar.xml" TargetMode="External"/><Relationship Id="rId197" Type="http://schemas.openxmlformats.org/officeDocument/2006/relationships/hyperlink" Target="http://www.floatrates.com/daily/zar.xml" TargetMode="External"/><Relationship Id="rId362" Type="http://schemas.openxmlformats.org/officeDocument/2006/relationships/hyperlink" Target="http://www.floatrates.com/zar/bzd/" TargetMode="External"/><Relationship Id="rId418" Type="http://schemas.openxmlformats.org/officeDocument/2006/relationships/hyperlink" Target="http://www.floatrates.com/zar/isk/" TargetMode="External"/><Relationship Id="rId222" Type="http://schemas.openxmlformats.org/officeDocument/2006/relationships/hyperlink" Target="http://www.floatrates.com/daily/zar.xml" TargetMode="External"/><Relationship Id="rId264" Type="http://schemas.openxmlformats.org/officeDocument/2006/relationships/hyperlink" Target="http://www.floatrates.com/daily/zar.xml" TargetMode="External"/><Relationship Id="rId17" Type="http://schemas.openxmlformats.org/officeDocument/2006/relationships/hyperlink" Target="http://www.floatrates.com/currency/zar/" TargetMode="External"/><Relationship Id="rId59" Type="http://schemas.openxmlformats.org/officeDocument/2006/relationships/hyperlink" Target="http://www.floatrates.com/currency/zar/" TargetMode="External"/><Relationship Id="rId124" Type="http://schemas.openxmlformats.org/officeDocument/2006/relationships/hyperlink" Target="http://www.floatrates.com/currency/zar/" TargetMode="External"/><Relationship Id="rId70" Type="http://schemas.openxmlformats.org/officeDocument/2006/relationships/hyperlink" Target="http://www.floatrates.com/currency/zar/" TargetMode="External"/><Relationship Id="rId166" Type="http://schemas.openxmlformats.org/officeDocument/2006/relationships/hyperlink" Target="http://www.floatrates.com/daily/zar.xml" TargetMode="External"/><Relationship Id="rId331" Type="http://schemas.openxmlformats.org/officeDocument/2006/relationships/hyperlink" Target="http://www.floatrates.com/zar/lkr/" TargetMode="External"/><Relationship Id="rId373" Type="http://schemas.openxmlformats.org/officeDocument/2006/relationships/hyperlink" Target="http://www.floatrates.com/zar/lsl/" TargetMode="External"/><Relationship Id="rId429" Type="http://schemas.openxmlformats.org/officeDocument/2006/relationships/hyperlink" Target="http://www.floatrates.com/zar/php/" TargetMode="External"/><Relationship Id="rId1" Type="http://schemas.openxmlformats.org/officeDocument/2006/relationships/hyperlink" Target="http://www.floatrates.com/currency/zar/" TargetMode="External"/><Relationship Id="rId233" Type="http://schemas.openxmlformats.org/officeDocument/2006/relationships/hyperlink" Target="http://www.floatrates.com/daily/zar.xml" TargetMode="External"/><Relationship Id="rId440" Type="http://schemas.openxmlformats.org/officeDocument/2006/relationships/hyperlink" Target="http://www.floatrates.com/zar/mkd/" TargetMode="External"/><Relationship Id="rId28" Type="http://schemas.openxmlformats.org/officeDocument/2006/relationships/hyperlink" Target="http://www.floatrates.com/currency/zar/" TargetMode="External"/><Relationship Id="rId275" Type="http://schemas.openxmlformats.org/officeDocument/2006/relationships/hyperlink" Target="http://www.floatrates.com/daily/zar.xml" TargetMode="External"/><Relationship Id="rId300" Type="http://schemas.openxmlformats.org/officeDocument/2006/relationships/hyperlink" Target="http://www.floatrates.com/zar/jpy/" TargetMode="External"/><Relationship Id="rId81" Type="http://schemas.openxmlformats.org/officeDocument/2006/relationships/hyperlink" Target="http://www.floatrates.com/currency/zar/" TargetMode="External"/><Relationship Id="rId135" Type="http://schemas.openxmlformats.org/officeDocument/2006/relationships/hyperlink" Target="http://www.floatrates.com/currency/zar/" TargetMode="External"/><Relationship Id="rId177" Type="http://schemas.openxmlformats.org/officeDocument/2006/relationships/hyperlink" Target="http://www.floatrates.com/daily/zar.xml" TargetMode="External"/><Relationship Id="rId342" Type="http://schemas.openxmlformats.org/officeDocument/2006/relationships/hyperlink" Target="http://www.floatrates.com/zar/egp/" TargetMode="External"/><Relationship Id="rId384" Type="http://schemas.openxmlformats.org/officeDocument/2006/relationships/hyperlink" Target="http://www.floatrates.com/zar/xaf/" TargetMode="External"/><Relationship Id="rId202" Type="http://schemas.openxmlformats.org/officeDocument/2006/relationships/hyperlink" Target="http://www.floatrates.com/daily/zar.xml" TargetMode="External"/><Relationship Id="rId244" Type="http://schemas.openxmlformats.org/officeDocument/2006/relationships/hyperlink" Target="http://www.floatrates.com/daily/zar.xml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customProperty" Target="../customProperty6.bin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vmlDrawing" Target="../drawings/vmlDrawing3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customProperty" Target="../customProperty8.bin"/><Relationship Id="rId4" Type="http://schemas.openxmlformats.org/officeDocument/2006/relationships/comments" Target="../comments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AZ17"/>
  <sheetViews>
    <sheetView showGridLines="0" zoomScaleNormal="100" zoomScaleSheetLayoutView="80" workbookViewId="0">
      <selection activeCell="R15" sqref="R15:AC15"/>
    </sheetView>
  </sheetViews>
  <sheetFormatPr defaultRowHeight="12.5" customHeight="1" x14ac:dyDescent="0.35"/>
  <cols>
    <col min="1" max="1" width="1.36328125" style="217" customWidth="1"/>
    <col min="2" max="4" width="1.81640625" style="217" customWidth="1"/>
    <col min="5" max="5" width="1.81640625" style="217" bestFit="1" customWidth="1"/>
    <col min="6" max="6" width="1.81640625" style="217" customWidth="1"/>
    <col min="7" max="57" width="2.6328125" style="163" customWidth="1"/>
    <col min="58" max="16384" width="8.7265625" style="163"/>
  </cols>
  <sheetData>
    <row r="1" spans="1:52" ht="12.75" customHeight="1" x14ac:dyDescent="0.35">
      <c r="B1" s="217" t="s">
        <v>1384</v>
      </c>
      <c r="G1" s="234" t="s">
        <v>1385</v>
      </c>
      <c r="H1" s="234"/>
      <c r="I1" s="234"/>
      <c r="J1" s="236" t="s">
        <v>246</v>
      </c>
      <c r="K1" s="236"/>
      <c r="L1" s="236"/>
      <c r="M1" s="236"/>
      <c r="N1" s="236"/>
      <c r="O1" s="236"/>
      <c r="P1" s="236"/>
      <c r="Q1" s="236"/>
      <c r="R1" s="172"/>
      <c r="S1" s="172"/>
      <c r="T1" s="170" t="s">
        <v>1386</v>
      </c>
      <c r="U1" s="170"/>
      <c r="V1" s="170"/>
      <c r="W1" s="173" t="str">
        <f>VLOOKUP(J1,Countries!$C$2:$L$59,10,0)</f>
        <v>ZAR</v>
      </c>
      <c r="X1" s="172"/>
      <c r="Y1" s="172"/>
      <c r="Z1" s="172"/>
      <c r="AA1" s="172"/>
      <c r="AB1" s="172"/>
      <c r="AC1" s="172"/>
      <c r="AD1" s="172"/>
      <c r="AE1" s="172"/>
      <c r="AF1" s="170"/>
      <c r="AG1" s="174" t="str">
        <f>IF(W1="ZAR","","Exchange Rate:")</f>
        <v/>
      </c>
      <c r="AH1" s="170"/>
      <c r="AI1" s="175"/>
      <c r="AJ1" s="170"/>
      <c r="AK1" s="173" t="str">
        <f>IFERROR("1 ZAR = " &amp;  ROUNDUP(VLOOKUP(VLOOKUP(J1,Countries!$C$2:$L$59,10,0),'Exchange Rate'!O2:Q170,3,0),3) &amp;" " &amp; VLOOKUP(J1,Countries!$C$2:$L$59,10,0),"")</f>
        <v/>
      </c>
      <c r="AL1" s="174"/>
      <c r="AM1" s="170"/>
      <c r="AN1" s="170"/>
      <c r="AO1" s="170"/>
      <c r="AP1" s="170"/>
      <c r="AQ1" s="170"/>
      <c r="AR1" s="170"/>
      <c r="AS1" s="170"/>
    </row>
    <row r="2" spans="1:52" ht="12.75" customHeight="1" x14ac:dyDescent="0.35">
      <c r="G2" s="172"/>
      <c r="H2" s="235" t="s">
        <v>1363</v>
      </c>
      <c r="I2" s="235"/>
      <c r="J2" s="235"/>
      <c r="K2" s="235"/>
      <c r="L2" s="235"/>
      <c r="M2" s="235"/>
      <c r="N2" s="235"/>
      <c r="O2" s="235"/>
      <c r="P2" s="235"/>
      <c r="Q2" s="235"/>
      <c r="R2" s="235"/>
      <c r="S2" s="235"/>
      <c r="T2" s="161"/>
      <c r="U2" s="235" t="s">
        <v>1364</v>
      </c>
      <c r="V2" s="235"/>
      <c r="W2" s="235"/>
      <c r="X2" s="235"/>
      <c r="Y2" s="235"/>
      <c r="Z2" s="235"/>
      <c r="AA2" s="235"/>
      <c r="AB2" s="235"/>
      <c r="AC2" s="235"/>
      <c r="AD2" s="235"/>
      <c r="AE2" s="235"/>
      <c r="AF2" s="235"/>
      <c r="AG2" s="161"/>
      <c r="AH2" s="235" t="s">
        <v>1382</v>
      </c>
      <c r="AI2" s="235"/>
      <c r="AJ2" s="235"/>
      <c r="AK2" s="235"/>
      <c r="AL2" s="235"/>
      <c r="AM2" s="235"/>
      <c r="AN2" s="235"/>
      <c r="AO2" s="235"/>
      <c r="AP2" s="235"/>
      <c r="AQ2" s="235"/>
      <c r="AR2" s="235"/>
      <c r="AS2" s="235"/>
    </row>
    <row r="3" spans="1:52" ht="12.75" customHeight="1" x14ac:dyDescent="0.35">
      <c r="G3" s="169"/>
      <c r="H3" s="233"/>
      <c r="I3" s="233"/>
      <c r="J3" s="233"/>
      <c r="K3" s="168"/>
      <c r="L3" s="232"/>
      <c r="M3" s="232"/>
      <c r="N3" s="232"/>
      <c r="O3" s="232"/>
      <c r="P3" s="232"/>
      <c r="Q3" s="232"/>
      <c r="R3" s="232"/>
      <c r="S3" s="232"/>
      <c r="T3" s="169"/>
      <c r="U3" s="233"/>
      <c r="V3" s="233"/>
      <c r="W3" s="233"/>
      <c r="X3" s="177"/>
      <c r="Y3" s="232"/>
      <c r="Z3" s="232"/>
      <c r="AA3" s="232"/>
      <c r="AB3" s="232"/>
      <c r="AC3" s="232"/>
      <c r="AD3" s="232"/>
      <c r="AE3" s="232"/>
      <c r="AF3" s="232"/>
      <c r="AG3" s="169"/>
      <c r="AH3" s="233"/>
      <c r="AI3" s="233"/>
      <c r="AJ3" s="233"/>
      <c r="AK3" s="177"/>
      <c r="AL3" s="232"/>
      <c r="AM3" s="232"/>
      <c r="AN3" s="232"/>
      <c r="AO3" s="232"/>
      <c r="AP3" s="232"/>
      <c r="AQ3" s="232"/>
      <c r="AR3" s="232"/>
      <c r="AS3" s="232"/>
      <c r="AT3" s="162"/>
    </row>
    <row r="4" spans="1:52" ht="12.75" customHeight="1" x14ac:dyDescent="0.35">
      <c r="G4" s="169"/>
      <c r="H4" s="233"/>
      <c r="I4" s="233"/>
      <c r="J4" s="233"/>
      <c r="K4" s="168"/>
      <c r="L4" s="232"/>
      <c r="M4" s="232"/>
      <c r="N4" s="232"/>
      <c r="O4" s="232"/>
      <c r="P4" s="232"/>
      <c r="Q4" s="232"/>
      <c r="R4" s="232"/>
      <c r="S4" s="232"/>
      <c r="T4" s="169"/>
      <c r="U4" s="233"/>
      <c r="V4" s="233"/>
      <c r="W4" s="233"/>
      <c r="X4" s="177"/>
      <c r="Y4" s="232"/>
      <c r="Z4" s="232"/>
      <c r="AA4" s="232"/>
      <c r="AB4" s="232"/>
      <c r="AC4" s="232"/>
      <c r="AD4" s="232"/>
      <c r="AE4" s="232"/>
      <c r="AF4" s="232"/>
      <c r="AG4" s="169"/>
      <c r="AH4" s="233"/>
      <c r="AI4" s="233"/>
      <c r="AJ4" s="233"/>
      <c r="AK4" s="177"/>
      <c r="AL4" s="232"/>
      <c r="AM4" s="232"/>
      <c r="AN4" s="232"/>
      <c r="AO4" s="232"/>
      <c r="AP4" s="232"/>
      <c r="AQ4" s="232"/>
      <c r="AR4" s="232"/>
      <c r="AS4" s="232"/>
      <c r="AT4" s="162"/>
    </row>
    <row r="5" spans="1:52" ht="12.75" customHeight="1" thickBot="1" x14ac:dyDescent="0.4">
      <c r="D5" s="218">
        <f>L5+Y5+AL5</f>
        <v>0</v>
      </c>
      <c r="G5" s="169"/>
      <c r="H5" s="226" t="s">
        <v>1383</v>
      </c>
      <c r="I5" s="226"/>
      <c r="J5" s="226"/>
      <c r="K5" s="226"/>
      <c r="L5" s="231">
        <f>SUM(L3:S4)</f>
        <v>0</v>
      </c>
      <c r="M5" s="231"/>
      <c r="N5" s="231"/>
      <c r="O5" s="231"/>
      <c r="P5" s="231"/>
      <c r="Q5" s="231"/>
      <c r="R5" s="231"/>
      <c r="S5" s="231"/>
      <c r="T5" s="169"/>
      <c r="U5" s="226" t="s">
        <v>1383</v>
      </c>
      <c r="V5" s="226"/>
      <c r="W5" s="226"/>
      <c r="X5" s="226"/>
      <c r="Y5" s="231">
        <f>SUM(Y3:AF4)</f>
        <v>0</v>
      </c>
      <c r="Z5" s="231"/>
      <c r="AA5" s="231"/>
      <c r="AB5" s="231"/>
      <c r="AC5" s="231"/>
      <c r="AD5" s="231"/>
      <c r="AE5" s="231"/>
      <c r="AF5" s="231"/>
      <c r="AG5" s="169"/>
      <c r="AH5" s="226" t="s">
        <v>1383</v>
      </c>
      <c r="AI5" s="226"/>
      <c r="AJ5" s="226"/>
      <c r="AK5" s="226"/>
      <c r="AL5" s="231">
        <f>SUM(AL3:AS4)</f>
        <v>0</v>
      </c>
      <c r="AM5" s="231"/>
      <c r="AN5" s="231"/>
      <c r="AO5" s="231"/>
      <c r="AP5" s="231"/>
      <c r="AQ5" s="231"/>
      <c r="AR5" s="231"/>
      <c r="AS5" s="231"/>
    </row>
    <row r="6" spans="1:52" ht="12.75" customHeight="1" thickTop="1" x14ac:dyDescent="0.35">
      <c r="G6" s="169"/>
      <c r="H6" s="228"/>
      <c r="I6" s="228"/>
      <c r="J6" s="228"/>
      <c r="K6" s="228"/>
      <c r="L6" s="229"/>
      <c r="M6" s="229"/>
      <c r="N6" s="229"/>
      <c r="O6" s="229"/>
      <c r="P6" s="229"/>
      <c r="Q6" s="229"/>
      <c r="R6" s="229"/>
      <c r="S6" s="229"/>
      <c r="T6" s="169"/>
      <c r="U6" s="230"/>
      <c r="V6" s="230"/>
      <c r="W6" s="230"/>
      <c r="X6" s="230"/>
      <c r="Y6" s="229"/>
      <c r="Z6" s="229"/>
      <c r="AA6" s="229"/>
      <c r="AB6" s="229"/>
      <c r="AC6" s="229"/>
      <c r="AD6" s="229"/>
      <c r="AE6" s="229"/>
      <c r="AF6" s="229"/>
      <c r="AG6" s="169"/>
      <c r="AH6" s="230"/>
      <c r="AI6" s="230"/>
      <c r="AJ6" s="230"/>
      <c r="AK6" s="230"/>
      <c r="AL6" s="229"/>
      <c r="AM6" s="229"/>
      <c r="AN6" s="229"/>
      <c r="AO6" s="229"/>
      <c r="AP6" s="229"/>
      <c r="AQ6" s="229"/>
      <c r="AR6" s="229"/>
      <c r="AS6" s="229"/>
    </row>
    <row r="7" spans="1:52" ht="11" customHeight="1" x14ac:dyDescent="0.35">
      <c r="G7" s="226"/>
      <c r="H7" s="226"/>
      <c r="I7" s="226"/>
      <c r="J7" s="226"/>
      <c r="K7" s="226"/>
      <c r="L7" s="226"/>
      <c r="M7" s="226"/>
      <c r="N7" s="226"/>
      <c r="O7" s="226"/>
      <c r="P7" s="226"/>
      <c r="Q7" s="226"/>
      <c r="R7" s="226"/>
      <c r="S7" s="226"/>
      <c r="T7" s="226"/>
      <c r="U7" s="226"/>
      <c r="V7" s="226"/>
      <c r="W7" s="226"/>
      <c r="X7" s="226"/>
      <c r="Y7" s="226"/>
      <c r="Z7" s="226"/>
      <c r="AA7" s="226"/>
      <c r="AB7" s="226"/>
      <c r="AC7" s="226"/>
      <c r="AD7" s="226"/>
      <c r="AE7" s="226"/>
      <c r="AF7" s="226"/>
      <c r="AG7" s="226"/>
      <c r="AH7" s="226"/>
      <c r="AI7" s="226"/>
      <c r="AJ7" s="226"/>
      <c r="AK7" s="226"/>
      <c r="AL7" s="226"/>
      <c r="AM7" s="226"/>
      <c r="AN7" s="226"/>
      <c r="AO7" s="226"/>
      <c r="AP7" s="226"/>
      <c r="AQ7" s="226"/>
      <c r="AR7" s="226"/>
      <c r="AS7" s="226"/>
    </row>
    <row r="8" spans="1:52" ht="11" customHeight="1" x14ac:dyDescent="0.35">
      <c r="G8" s="227"/>
      <c r="H8" s="227"/>
      <c r="I8" s="227"/>
      <c r="J8" s="227"/>
      <c r="K8" s="227"/>
      <c r="L8" s="227"/>
      <c r="M8" s="227"/>
      <c r="N8" s="227"/>
      <c r="O8" s="227"/>
      <c r="P8" s="227"/>
      <c r="Q8" s="227"/>
      <c r="R8" s="227"/>
      <c r="S8" s="227"/>
      <c r="T8" s="227"/>
      <c r="U8" s="227"/>
      <c r="V8" s="227"/>
      <c r="W8" s="227"/>
      <c r="X8" s="227"/>
      <c r="Y8" s="227"/>
      <c r="Z8" s="227"/>
      <c r="AA8" s="227"/>
      <c r="AB8" s="227"/>
      <c r="AC8" s="227"/>
      <c r="AD8" s="227"/>
      <c r="AE8" s="227"/>
      <c r="AF8" s="227"/>
      <c r="AG8" s="227"/>
      <c r="AH8" s="227"/>
      <c r="AI8" s="227"/>
      <c r="AJ8" s="227"/>
      <c r="AK8" s="227"/>
      <c r="AL8" s="227"/>
      <c r="AM8" s="227"/>
      <c r="AN8" s="227"/>
      <c r="AO8" s="227"/>
      <c r="AP8" s="227"/>
      <c r="AQ8" s="227"/>
      <c r="AR8" s="227"/>
      <c r="AS8" s="227"/>
    </row>
    <row r="11" spans="1:52" ht="12.5" customHeight="1" x14ac:dyDescent="0.45">
      <c r="A11" s="219"/>
      <c r="B11" s="220" t="s">
        <v>1476</v>
      </c>
      <c r="C11" s="220"/>
      <c r="D11" s="219">
        <f>COUNTIF(C12:C17,"CATEGORY_START")</f>
        <v>1</v>
      </c>
      <c r="E11" s="219">
        <f>COUNTA(H12:H17)</f>
        <v>0</v>
      </c>
      <c r="F11" s="219"/>
      <c r="G11" s="237" t="s">
        <v>1385</v>
      </c>
      <c r="H11" s="238"/>
      <c r="I11" s="238"/>
      <c r="J11" s="239" t="s">
        <v>246</v>
      </c>
      <c r="K11" s="239"/>
      <c r="L11" s="239"/>
      <c r="M11" s="239"/>
      <c r="N11" s="239"/>
      <c r="O11" s="239"/>
      <c r="P11" s="239"/>
      <c r="Q11" s="239"/>
      <c r="R11" s="196"/>
      <c r="S11" s="196"/>
      <c r="T11" s="197"/>
      <c r="U11" s="197"/>
      <c r="V11" s="197"/>
      <c r="W11" s="198"/>
      <c r="X11" s="196"/>
      <c r="Y11" s="196"/>
      <c r="Z11" s="196"/>
      <c r="AA11" s="196"/>
      <c r="AB11" s="196"/>
      <c r="AC11" s="196"/>
      <c r="AD11" s="196"/>
      <c r="AE11" s="196"/>
      <c r="AF11" s="197"/>
      <c r="AG11" s="198"/>
      <c r="AH11" s="197"/>
      <c r="AI11" s="199"/>
      <c r="AJ11" s="197"/>
      <c r="AK11" s="198"/>
      <c r="AL11" s="198"/>
      <c r="AM11" s="197"/>
      <c r="AN11" s="197"/>
      <c r="AO11" s="197"/>
      <c r="AP11" s="197"/>
      <c r="AQ11" s="197"/>
      <c r="AR11" s="197"/>
      <c r="AS11" s="200"/>
      <c r="AT11" s="201"/>
      <c r="AU11" s="201"/>
      <c r="AV11" s="187"/>
      <c r="AW11" s="187"/>
      <c r="AX11" s="187"/>
      <c r="AY11" s="187"/>
      <c r="AZ11" s="187"/>
    </row>
    <row r="12" spans="1:52" ht="12.5" customHeight="1" x14ac:dyDescent="0.45">
      <c r="A12" s="219"/>
      <c r="B12" s="220">
        <f>COUNTIF(C12:C17,"CATEGORY_START")</f>
        <v>1</v>
      </c>
      <c r="C12" s="220" t="s">
        <v>1478</v>
      </c>
      <c r="D12" s="219"/>
      <c r="E12" s="219"/>
      <c r="G12" s="202"/>
      <c r="H12" s="288"/>
      <c r="I12" s="288"/>
      <c r="J12" s="288"/>
      <c r="K12" s="288"/>
      <c r="L12" s="288"/>
      <c r="M12" s="288"/>
      <c r="N12" s="288"/>
      <c r="O12" s="288"/>
      <c r="P12" s="288"/>
      <c r="Q12" s="288"/>
      <c r="R12" s="203"/>
      <c r="S12" s="203"/>
      <c r="T12" s="203"/>
      <c r="U12" s="203"/>
      <c r="V12" s="203"/>
      <c r="W12" s="203"/>
      <c r="X12" s="203"/>
      <c r="Y12" s="203"/>
      <c r="Z12" s="203"/>
      <c r="AA12" s="203"/>
      <c r="AB12" s="203"/>
      <c r="AC12" s="203"/>
      <c r="AD12" s="203"/>
      <c r="AE12" s="203"/>
      <c r="AF12" s="203"/>
      <c r="AG12" s="203"/>
      <c r="AH12" s="203"/>
      <c r="AI12" s="203"/>
      <c r="AJ12" s="203"/>
      <c r="AK12" s="203"/>
      <c r="AL12" s="203"/>
      <c r="AM12" s="203"/>
      <c r="AN12" s="203"/>
      <c r="AO12" s="203"/>
      <c r="AP12" s="203"/>
      <c r="AQ12" s="203"/>
      <c r="AR12" s="203"/>
      <c r="AS12" s="204"/>
      <c r="AT12" s="201"/>
      <c r="AU12" s="201"/>
      <c r="AV12" s="187"/>
      <c r="AW12" s="187"/>
      <c r="AX12" s="187"/>
      <c r="AY12" s="187"/>
      <c r="AZ12" s="187"/>
    </row>
    <row r="13" spans="1:52" ht="12.5" customHeight="1" x14ac:dyDescent="0.45">
      <c r="A13" s="219"/>
      <c r="B13" s="220"/>
      <c r="C13" s="220"/>
      <c r="D13" s="219"/>
      <c r="E13" s="219"/>
      <c r="F13" s="219"/>
      <c r="G13" s="186"/>
      <c r="H13" s="205"/>
      <c r="I13" s="240" t="s">
        <v>0</v>
      </c>
      <c r="J13" s="240"/>
      <c r="K13" s="240"/>
      <c r="L13" s="240"/>
      <c r="M13" s="240"/>
      <c r="N13" s="240"/>
      <c r="O13" s="240" t="s">
        <v>1392</v>
      </c>
      <c r="P13" s="240"/>
      <c r="Q13" s="240"/>
      <c r="R13" s="240" t="s">
        <v>1393</v>
      </c>
      <c r="S13" s="240"/>
      <c r="T13" s="240"/>
      <c r="U13" s="240"/>
      <c r="V13" s="240"/>
      <c r="W13" s="240"/>
      <c r="X13" s="240"/>
      <c r="Y13" s="240" t="s">
        <v>1394</v>
      </c>
      <c r="Z13" s="240"/>
      <c r="AA13" s="240"/>
      <c r="AB13" s="240"/>
      <c r="AC13" s="240"/>
      <c r="AD13" s="240" t="s">
        <v>1383</v>
      </c>
      <c r="AE13" s="240"/>
      <c r="AF13" s="240"/>
      <c r="AG13" s="240"/>
      <c r="AH13" s="240"/>
      <c r="AI13" s="240"/>
      <c r="AJ13" s="240"/>
      <c r="AK13" s="240" t="s">
        <v>1395</v>
      </c>
      <c r="AL13" s="240"/>
      <c r="AM13" s="240"/>
      <c r="AN13" s="240"/>
      <c r="AO13" s="240"/>
      <c r="AP13" s="241" t="s">
        <v>468</v>
      </c>
      <c r="AQ13" s="241"/>
      <c r="AR13" s="241"/>
      <c r="AS13" s="242"/>
      <c r="AT13" s="201"/>
      <c r="AU13" s="201"/>
      <c r="AV13" s="187"/>
      <c r="AW13" s="187"/>
      <c r="AX13" s="187"/>
      <c r="AY13" s="187"/>
      <c r="AZ13" s="187"/>
    </row>
    <row r="14" spans="1:52" ht="12.5" customHeight="1" x14ac:dyDescent="0.45">
      <c r="A14" s="219"/>
      <c r="B14" s="220"/>
      <c r="C14" s="220">
        <f>COUNTA(I14:N15)</f>
        <v>1</v>
      </c>
      <c r="D14" s="219"/>
      <c r="E14" s="219"/>
      <c r="F14" s="219">
        <f>COUNTA(I14:N15)</f>
        <v>1</v>
      </c>
      <c r="G14" s="189"/>
      <c r="H14" s="189"/>
      <c r="I14" s="243" t="s">
        <v>93</v>
      </c>
      <c r="J14" s="243"/>
      <c r="K14" s="243"/>
      <c r="L14" s="243"/>
      <c r="M14" s="243"/>
      <c r="N14" s="244"/>
      <c r="O14" s="245"/>
      <c r="P14" s="246"/>
      <c r="Q14" s="247"/>
      <c r="R14" s="248">
        <v>10</v>
      </c>
      <c r="S14" s="248"/>
      <c r="T14" s="248"/>
      <c r="U14" s="248"/>
      <c r="V14" s="248"/>
      <c r="W14" s="248"/>
      <c r="X14" s="248"/>
      <c r="Y14" s="249" t="s">
        <v>54</v>
      </c>
      <c r="Z14" s="249"/>
      <c r="AA14" s="249"/>
      <c r="AB14" s="249"/>
      <c r="AC14" s="249"/>
      <c r="AD14" s="248">
        <v>10</v>
      </c>
      <c r="AE14" s="248"/>
      <c r="AF14" s="248"/>
      <c r="AG14" s="248"/>
      <c r="AH14" s="248"/>
      <c r="AI14" s="248"/>
      <c r="AJ14" s="248"/>
      <c r="AK14" s="249" t="s">
        <v>54</v>
      </c>
      <c r="AL14" s="249"/>
      <c r="AM14" s="249"/>
      <c r="AN14" s="249"/>
      <c r="AO14" s="249"/>
      <c r="AP14" s="249"/>
      <c r="AQ14" s="249"/>
      <c r="AR14" s="249"/>
      <c r="AS14" s="250"/>
      <c r="AT14" s="206"/>
      <c r="AU14" s="201"/>
      <c r="AV14" s="187"/>
      <c r="AW14" s="187"/>
      <c r="AX14" s="187"/>
      <c r="AY14" s="187"/>
      <c r="AZ14" s="187"/>
    </row>
    <row r="15" spans="1:52" ht="12.5" customHeight="1" thickBot="1" x14ac:dyDescent="0.5">
      <c r="A15" s="219"/>
      <c r="B15" s="220"/>
      <c r="C15" s="220"/>
      <c r="D15" s="294">
        <f>AD15</f>
        <v>10</v>
      </c>
      <c r="E15" s="219"/>
      <c r="F15" s="219"/>
      <c r="G15" s="207"/>
      <c r="H15" s="207"/>
      <c r="I15" s="180"/>
      <c r="J15" s="180"/>
      <c r="K15" s="180"/>
      <c r="L15" s="190"/>
      <c r="M15" s="190"/>
      <c r="N15" s="190"/>
      <c r="O15" s="190"/>
      <c r="P15" s="190"/>
      <c r="Q15" s="190"/>
      <c r="R15" s="289" t="str">
        <f>H12&amp;" Total"</f>
        <v xml:space="preserve"> Total</v>
      </c>
      <c r="S15" s="289"/>
      <c r="T15" s="289"/>
      <c r="U15" s="289"/>
      <c r="V15" s="289"/>
      <c r="W15" s="289"/>
      <c r="X15" s="289"/>
      <c r="Y15" s="289"/>
      <c r="Z15" s="289"/>
      <c r="AA15" s="289"/>
      <c r="AB15" s="289"/>
      <c r="AC15" s="289"/>
      <c r="AD15" s="251">
        <f>SUM(AD14:AD14)</f>
        <v>10</v>
      </c>
      <c r="AE15" s="252"/>
      <c r="AF15" s="252"/>
      <c r="AG15" s="252"/>
      <c r="AH15" s="252"/>
      <c r="AI15" s="252"/>
      <c r="AJ15" s="252"/>
      <c r="AK15" s="253"/>
      <c r="AL15" s="254"/>
      <c r="AM15" s="254"/>
      <c r="AN15" s="254"/>
      <c r="AO15" s="254"/>
      <c r="AP15" s="178"/>
      <c r="AQ15" s="178"/>
      <c r="AR15" s="178"/>
      <c r="AS15" s="178"/>
      <c r="AT15" s="206"/>
      <c r="AU15" s="201"/>
      <c r="AV15" s="187"/>
      <c r="AW15" s="187"/>
      <c r="AX15" s="187"/>
      <c r="AY15" s="187"/>
      <c r="AZ15" s="187"/>
    </row>
    <row r="16" spans="1:52" ht="12.5" customHeight="1" thickTop="1" x14ac:dyDescent="0.45">
      <c r="A16" s="219"/>
      <c r="B16" s="220"/>
      <c r="C16" s="220" t="s">
        <v>1479</v>
      </c>
      <c r="D16" s="219"/>
      <c r="E16" s="219"/>
      <c r="F16" s="219"/>
      <c r="G16" s="207"/>
      <c r="H16" s="207"/>
      <c r="I16" s="207"/>
      <c r="J16" s="207"/>
      <c r="K16" s="207"/>
      <c r="L16" s="208"/>
      <c r="M16" s="208"/>
      <c r="N16" s="208"/>
      <c r="O16" s="208"/>
      <c r="P16" s="208"/>
      <c r="Q16" s="208"/>
      <c r="R16" s="208"/>
      <c r="S16" s="208"/>
      <c r="T16" s="207"/>
      <c r="U16" s="207"/>
      <c r="V16" s="207"/>
      <c r="W16" s="207"/>
      <c r="X16" s="207"/>
      <c r="Y16" s="209"/>
      <c r="Z16" s="209"/>
      <c r="AA16" s="209"/>
      <c r="AB16" s="209"/>
      <c r="AC16" s="209"/>
      <c r="AD16" s="210"/>
      <c r="AE16" s="210"/>
      <c r="AF16" s="210"/>
      <c r="AG16" s="210"/>
      <c r="AH16" s="210"/>
      <c r="AI16" s="210"/>
      <c r="AJ16" s="210"/>
      <c r="AK16" s="208"/>
      <c r="AL16" s="208"/>
      <c r="AM16" s="208"/>
      <c r="AN16" s="208"/>
      <c r="AO16" s="208"/>
      <c r="AP16" s="185"/>
      <c r="AQ16" s="185"/>
      <c r="AR16" s="185"/>
      <c r="AS16" s="185"/>
      <c r="AT16" s="211"/>
      <c r="AU16" s="201"/>
      <c r="AV16" s="187"/>
      <c r="AW16" s="187"/>
      <c r="AX16" s="187"/>
      <c r="AY16" s="187"/>
      <c r="AZ16" s="187"/>
    </row>
    <row r="17" spans="2:5" ht="12.5" customHeight="1" x14ac:dyDescent="0.4">
      <c r="B17" s="221" t="s">
        <v>1477</v>
      </c>
      <c r="C17" s="221"/>
      <c r="D17" s="219"/>
      <c r="E17" s="219"/>
    </row>
  </sheetData>
  <mergeCells count="51">
    <mergeCell ref="AD15:AJ15"/>
    <mergeCell ref="AK15:AO15"/>
    <mergeCell ref="Y13:AC13"/>
    <mergeCell ref="AD13:AJ13"/>
    <mergeCell ref="AK13:AO13"/>
    <mergeCell ref="R15:AC15"/>
    <mergeCell ref="AP13:AS13"/>
    <mergeCell ref="I14:N14"/>
    <mergeCell ref="O14:Q14"/>
    <mergeCell ref="R14:X14"/>
    <mergeCell ref="Y14:AC14"/>
    <mergeCell ref="AD14:AJ14"/>
    <mergeCell ref="AK14:AO14"/>
    <mergeCell ref="AP14:AS14"/>
    <mergeCell ref="G11:I11"/>
    <mergeCell ref="J11:Q11"/>
    <mergeCell ref="I13:N13"/>
    <mergeCell ref="O13:Q13"/>
    <mergeCell ref="R13:X13"/>
    <mergeCell ref="H12:Q12"/>
    <mergeCell ref="G1:I1"/>
    <mergeCell ref="H2:S2"/>
    <mergeCell ref="U2:AF2"/>
    <mergeCell ref="AH2:AS2"/>
    <mergeCell ref="L3:S3"/>
    <mergeCell ref="Y3:AF3"/>
    <mergeCell ref="AL3:AS3"/>
    <mergeCell ref="J1:Q1"/>
    <mergeCell ref="H3:J3"/>
    <mergeCell ref="U3:W3"/>
    <mergeCell ref="AH3:AJ3"/>
    <mergeCell ref="AL5:AS5"/>
    <mergeCell ref="L4:S4"/>
    <mergeCell ref="Y4:AF4"/>
    <mergeCell ref="AL4:AS4"/>
    <mergeCell ref="H5:K5"/>
    <mergeCell ref="L5:S5"/>
    <mergeCell ref="U5:X5"/>
    <mergeCell ref="Y5:AF5"/>
    <mergeCell ref="AH5:AK5"/>
    <mergeCell ref="H4:J4"/>
    <mergeCell ref="U4:W4"/>
    <mergeCell ref="AH4:AJ4"/>
    <mergeCell ref="G7:AS7"/>
    <mergeCell ref="G8:AS8"/>
    <mergeCell ref="H6:K6"/>
    <mergeCell ref="L6:S6"/>
    <mergeCell ref="U6:X6"/>
    <mergeCell ref="Y6:AF6"/>
    <mergeCell ref="AH6:AK6"/>
    <mergeCell ref="AL6:AS6"/>
  </mergeCells>
  <dataValidations count="4">
    <dataValidation allowBlank="1" showInputMessage="1" showErrorMessage="1" promptTitle="DON'T TYPE OVER THIS" prompt="This cell contains a formula!" sqref="W11"/>
    <dataValidation allowBlank="1" showInputMessage="1" showErrorMessage="1" promptTitle="DON'T TYPE OVER THIS" prompt="This cell contains a formula" sqref="AK11"/>
    <dataValidation allowBlank="1" showErrorMessage="1" promptTitle="DON'T TYPE OVER THIS" prompt="This cell contains a formula!" sqref="AP15:AS16 G15:Q16 R16:Y16 R15"/>
    <dataValidation allowBlank="1" sqref="G14:H14"/>
  </dataValidations>
  <printOptions horizontalCentered="1"/>
  <pageMargins left="0.23622047244094491" right="0.23622047244094491" top="0.74803149606299213" bottom="0.74803149606299213" header="0.31496062992125984" footer="0.31496062992125984"/>
  <pageSetup paperSize="9" scale="96" fitToHeight="0" orientation="portrait" r:id="rId1"/>
  <customProperties>
    <customPr name="LastActive" r:id="rId2"/>
  </customProperties>
  <drawing r:id="rId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Countries!$C$2:$C$59</xm:f>
          </x14:formula1>
          <xm:sqref>J1:Q1 J11:Q11</xm:sqref>
        </x14:dataValidation>
        <x14:dataValidation type="list" allowBlank="1" showInputMessage="1">
          <x14:formula1>
            <xm:f>Inventory!$C$7:$C$37</xm:f>
          </x14:formula1>
          <xm:sqref>H3:J4 U3:W4 AH3:AJ4 I14:N14</xm:sqref>
        </x14:dataValidation>
        <x14:dataValidation type="list" allowBlank="1" showInputMessage="1" showErrorMessage="1">
          <x14:formula1>
            <xm:f>[1]Sheet2!#REF!</xm:f>
          </x14:formula1>
          <xm:sqref>AK15:AO16</xm:sqref>
        </x14:dataValidation>
        <x14:dataValidation type="list" allowBlank="1" showInputMessage="1" showErrorMessage="1">
          <x14:formula1>
            <xm:f>'South African Currencies'!$A$2:$A$55</xm:f>
          </x14:formula1>
          <xm:sqref>Y14:AC14 AK14:AO14</xm:sqref>
        </x14:dataValidation>
        <x14:dataValidation type="list" allowBlank="1" showInputMessage="1" showErrorMessage="1">
          <x14:formula1>
            <xm:f>Data!$B$2:$B$7</xm:f>
          </x14:formula1>
          <xm:sqref>H12:Q12</xm:sqref>
        </x14:dataValidation>
        <x14:dataValidation type="list" allowBlank="1" showInputMessage="1" showErrorMessage="1">
          <x14:formula1>
            <xm:f>Data!$D$2:$D$7</xm:f>
          </x14:formula1>
          <xm:sqref>AP14:AS14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B1:D7"/>
  <sheetViews>
    <sheetView workbookViewId="0">
      <selection activeCell="D9" sqref="D9"/>
    </sheetView>
  </sheetViews>
  <sheetFormatPr defaultRowHeight="14.5" x14ac:dyDescent="0.35"/>
  <cols>
    <col min="2" max="2" width="11.08984375" bestFit="1" customWidth="1"/>
    <col min="3" max="3" width="2.36328125" style="164" customWidth="1"/>
    <col min="4" max="4" width="11.08984375" customWidth="1"/>
  </cols>
  <sheetData>
    <row r="1" spans="2:4" ht="15" thickBot="1" x14ac:dyDescent="0.4">
      <c r="B1" s="293" t="s">
        <v>1481</v>
      </c>
      <c r="D1" s="293" t="s">
        <v>1482</v>
      </c>
    </row>
    <row r="2" spans="2:4" x14ac:dyDescent="0.35">
      <c r="B2" s="290" t="s">
        <v>1391</v>
      </c>
      <c r="C2" s="225"/>
      <c r="D2" s="290" t="s">
        <v>1485</v>
      </c>
    </row>
    <row r="3" spans="2:4" x14ac:dyDescent="0.35">
      <c r="B3" s="291" t="s">
        <v>1480</v>
      </c>
      <c r="C3" s="225"/>
      <c r="D3" s="291" t="s">
        <v>1484</v>
      </c>
    </row>
    <row r="4" spans="2:4" x14ac:dyDescent="0.35">
      <c r="B4" s="291" t="s">
        <v>92</v>
      </c>
      <c r="C4" s="225"/>
      <c r="D4" s="291" t="s">
        <v>1483</v>
      </c>
    </row>
    <row r="5" spans="2:4" x14ac:dyDescent="0.35">
      <c r="B5" s="291"/>
      <c r="C5" s="225"/>
      <c r="D5" s="291"/>
    </row>
    <row r="6" spans="2:4" x14ac:dyDescent="0.35">
      <c r="B6" s="291"/>
      <c r="C6" s="225"/>
      <c r="D6" s="291"/>
    </row>
    <row r="7" spans="2:4" ht="15" thickBot="1" x14ac:dyDescent="0.4">
      <c r="B7" s="292"/>
      <c r="C7" s="225"/>
      <c r="D7" s="292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A1:AV38"/>
  <sheetViews>
    <sheetView showGridLines="0" tabSelected="1" topLeftCell="B2" zoomScaleNormal="100" zoomScaleSheetLayoutView="100" workbookViewId="0">
      <selection activeCell="R27" sqref="R27:X27"/>
    </sheetView>
  </sheetViews>
  <sheetFormatPr defaultRowHeight="12.5" customHeight="1" x14ac:dyDescent="0.35"/>
  <cols>
    <col min="1" max="1" width="2.81640625" style="213" hidden="1" customWidth="1"/>
    <col min="2" max="2" width="10.7265625" style="216" bestFit="1" customWidth="1"/>
    <col min="3" max="3" width="14.1796875" style="216" bestFit="1" customWidth="1"/>
    <col min="4" max="4" width="4.90625" style="216" bestFit="1" customWidth="1"/>
    <col min="5" max="6" width="1.81640625" style="216" customWidth="1"/>
    <col min="7" max="57" width="2.6328125" customWidth="1"/>
  </cols>
  <sheetData>
    <row r="1" spans="1:48" ht="12.75" hidden="1" customHeight="1" x14ac:dyDescent="0.35">
      <c r="A1" s="212"/>
      <c r="B1" s="215">
        <f>COUNTIF(B2:B37,"POINT")</f>
        <v>0</v>
      </c>
      <c r="C1" s="215"/>
      <c r="D1" s="215"/>
      <c r="E1" s="215"/>
      <c r="F1" s="215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/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  <c r="AH1" s="176"/>
      <c r="AI1" s="176"/>
      <c r="AJ1" s="176"/>
      <c r="AK1" s="176"/>
      <c r="AL1" s="176"/>
      <c r="AM1" s="176"/>
      <c r="AN1" s="176"/>
      <c r="AO1" s="176"/>
      <c r="AP1" s="176"/>
      <c r="AQ1" s="176"/>
      <c r="AR1" s="176"/>
      <c r="AS1" s="176"/>
      <c r="AT1" s="176"/>
      <c r="AU1" s="176"/>
    </row>
    <row r="2" spans="1:48" ht="51.75" customHeight="1" x14ac:dyDescent="0.35">
      <c r="A2" s="212"/>
      <c r="B2" s="215">
        <f>COUNTIF(B3:B99996,"POINT_END")</f>
        <v>2</v>
      </c>
      <c r="C2" s="215"/>
      <c r="D2" s="215"/>
      <c r="E2" s="215"/>
      <c r="F2" s="215"/>
      <c r="G2" s="176"/>
      <c r="H2" s="176"/>
      <c r="I2" s="176"/>
      <c r="J2" s="176"/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  <c r="AH2" s="176"/>
      <c r="AI2" s="176"/>
      <c r="AJ2" s="176"/>
      <c r="AK2" s="176"/>
      <c r="AL2" s="176"/>
      <c r="AM2" s="176"/>
      <c r="AN2" s="176"/>
      <c r="AO2" s="176"/>
      <c r="AP2" s="176"/>
      <c r="AQ2" s="176"/>
      <c r="AR2" s="176"/>
      <c r="AS2" s="176"/>
      <c r="AT2" s="176"/>
      <c r="AU2" s="176"/>
    </row>
    <row r="3" spans="1:48" ht="12.75" customHeight="1" x14ac:dyDescent="0.35">
      <c r="C3" s="215"/>
      <c r="G3" s="171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4"/>
      <c r="S3" s="214"/>
      <c r="T3" s="214"/>
      <c r="U3" s="214"/>
      <c r="V3" s="214"/>
      <c r="W3" s="214"/>
      <c r="X3" s="214"/>
      <c r="Y3" s="214"/>
      <c r="Z3" s="214"/>
      <c r="AA3" s="214"/>
      <c r="AB3" s="214"/>
      <c r="AC3" s="214"/>
      <c r="AD3" s="214"/>
      <c r="AE3" s="214"/>
      <c r="AF3" s="214"/>
      <c r="AG3" s="214"/>
      <c r="AH3" s="214"/>
      <c r="AI3" s="214"/>
      <c r="AJ3" s="214"/>
      <c r="AK3" s="214"/>
      <c r="AL3" s="214"/>
      <c r="AM3" s="214"/>
      <c r="AN3" s="214"/>
      <c r="AO3" s="214"/>
      <c r="AP3" s="214"/>
      <c r="AQ3" s="214"/>
      <c r="AR3" s="214"/>
      <c r="AS3" s="214"/>
    </row>
    <row r="4" spans="1:48" ht="12.75" customHeight="1" x14ac:dyDescent="0.35">
      <c r="C4" s="215"/>
      <c r="G4" s="171"/>
      <c r="H4" s="214"/>
      <c r="I4" s="214"/>
      <c r="J4" s="214"/>
      <c r="K4" s="214"/>
      <c r="L4" s="214"/>
      <c r="M4" s="214"/>
      <c r="N4" s="214"/>
      <c r="O4" s="214"/>
      <c r="P4" s="214"/>
      <c r="Q4" s="214"/>
      <c r="R4" s="214"/>
      <c r="S4" s="214"/>
      <c r="T4" s="214"/>
      <c r="U4" s="214"/>
      <c r="V4" s="214"/>
      <c r="W4" s="214"/>
      <c r="X4" s="214"/>
      <c r="Y4" s="214"/>
      <c r="Z4" s="214"/>
      <c r="AA4" s="214"/>
      <c r="AB4" s="214"/>
      <c r="AC4" s="214"/>
      <c r="AD4" s="214"/>
      <c r="AE4" s="214"/>
      <c r="AF4" s="214"/>
      <c r="AG4" s="214"/>
      <c r="AH4" s="214"/>
      <c r="AI4" s="214"/>
      <c r="AJ4" s="214"/>
      <c r="AK4" s="214"/>
      <c r="AL4" s="214"/>
      <c r="AM4" s="214"/>
      <c r="AN4" s="214"/>
      <c r="AO4" s="214"/>
      <c r="AP4" s="214"/>
      <c r="AQ4" s="214"/>
      <c r="AR4" s="214"/>
      <c r="AS4" s="214"/>
    </row>
    <row r="5" spans="1:48" ht="12.75" customHeight="1" x14ac:dyDescent="0.35">
      <c r="C5" s="215"/>
      <c r="G5" s="171"/>
      <c r="H5" s="214"/>
      <c r="I5" s="214"/>
      <c r="J5" s="214"/>
      <c r="K5" s="214"/>
      <c r="L5" s="214"/>
      <c r="M5" s="214"/>
      <c r="N5" s="214"/>
      <c r="O5" s="214"/>
      <c r="P5" s="214"/>
      <c r="Q5" s="214"/>
      <c r="R5" s="214"/>
      <c r="S5" s="214"/>
      <c r="T5" s="214"/>
      <c r="U5" s="214"/>
      <c r="V5" s="214"/>
      <c r="W5" s="214"/>
      <c r="X5" s="214"/>
      <c r="Y5" s="214"/>
      <c r="Z5" s="214"/>
      <c r="AA5" s="214"/>
      <c r="AB5" s="214"/>
      <c r="AC5" s="214"/>
      <c r="AD5" s="214"/>
      <c r="AE5" s="214"/>
      <c r="AF5" s="214"/>
      <c r="AG5" s="214"/>
      <c r="AH5" s="214"/>
      <c r="AI5" s="214"/>
      <c r="AJ5" s="214"/>
      <c r="AK5" s="214"/>
      <c r="AL5" s="214"/>
      <c r="AM5" s="214"/>
      <c r="AN5" s="214"/>
      <c r="AO5" s="214"/>
      <c r="AP5" s="214"/>
      <c r="AQ5" s="214"/>
      <c r="AR5" s="214"/>
      <c r="AS5" s="214"/>
    </row>
    <row r="6" spans="1:48" ht="12.75" customHeight="1" x14ac:dyDescent="0.35">
      <c r="C6" s="215"/>
      <c r="G6" s="255" t="s">
        <v>56</v>
      </c>
      <c r="H6" s="255"/>
      <c r="I6" s="255"/>
      <c r="J6" s="255"/>
      <c r="K6" s="255"/>
      <c r="L6" s="255"/>
      <c r="M6" s="255"/>
      <c r="N6" s="255"/>
      <c r="O6" s="255"/>
      <c r="P6" s="255"/>
      <c r="Q6" s="255"/>
      <c r="R6" s="255"/>
      <c r="S6" s="255"/>
      <c r="T6" s="255"/>
      <c r="U6" s="255"/>
      <c r="V6" s="255"/>
      <c r="W6" s="255"/>
      <c r="X6" s="255"/>
      <c r="Y6" s="255"/>
      <c r="Z6" s="255"/>
      <c r="AA6" s="255"/>
      <c r="AB6" s="255"/>
      <c r="AC6" s="255"/>
      <c r="AD6" s="255"/>
      <c r="AE6" s="255"/>
      <c r="AF6" s="255"/>
      <c r="AG6" s="255"/>
      <c r="AH6" s="255"/>
      <c r="AI6" s="255"/>
      <c r="AJ6" s="255"/>
      <c r="AK6" s="255"/>
      <c r="AL6" s="255"/>
      <c r="AM6" s="255"/>
      <c r="AN6" s="255"/>
      <c r="AO6" s="255"/>
      <c r="AP6" s="255"/>
      <c r="AQ6" s="255"/>
      <c r="AR6" s="255"/>
      <c r="AS6" s="255"/>
    </row>
    <row r="7" spans="1:48" ht="12.75" customHeight="1" x14ac:dyDescent="0.45">
      <c r="C7" s="215">
        <v>1</v>
      </c>
      <c r="G7" s="178"/>
      <c r="H7" s="256" t="s">
        <v>1365</v>
      </c>
      <c r="I7" s="256"/>
      <c r="J7" s="256"/>
      <c r="K7" s="256"/>
      <c r="L7" s="256"/>
      <c r="M7" s="256"/>
      <c r="N7" s="256"/>
      <c r="O7" s="256"/>
      <c r="P7" s="256"/>
      <c r="Q7" s="256"/>
      <c r="R7" s="256"/>
      <c r="S7" s="256"/>
      <c r="T7" s="179"/>
      <c r="U7" s="256" t="s">
        <v>51</v>
      </c>
      <c r="V7" s="256"/>
      <c r="W7" s="256"/>
      <c r="X7" s="256"/>
      <c r="Y7" s="256" t="str">
        <f>IFERROR(IF(VLOOKUP(C$7,Drivers!$A$5:$B$41,2,0)="","-", VLOOKUP(C$7,Drivers!$A$5:$B$41,2,0)),"-")</f>
        <v>Mack Gwatiringa</v>
      </c>
      <c r="Z7" s="256"/>
      <c r="AA7" s="256"/>
      <c r="AB7" s="256"/>
      <c r="AC7" s="256"/>
      <c r="AD7" s="256"/>
      <c r="AE7" s="256"/>
      <c r="AF7" s="256"/>
      <c r="AG7" s="179"/>
      <c r="AH7" s="256" t="s">
        <v>1360</v>
      </c>
      <c r="AI7" s="256"/>
      <c r="AJ7" s="256"/>
      <c r="AK7" s="256"/>
      <c r="AL7" s="258" t="str">
        <f>IFERROR(IF(VLOOKUP($D$7,Horses!$A$6:$C$42,3,0)="","-",VLOOKUP($D$7,Horses!$A$6:$C$42,3,0)),"-")</f>
        <v>-</v>
      </c>
      <c r="AM7" s="258"/>
      <c r="AN7" s="258"/>
      <c r="AO7" s="258"/>
      <c r="AP7" s="258"/>
      <c r="AQ7" s="258"/>
      <c r="AR7" s="258"/>
      <c r="AS7" s="258"/>
    </row>
    <row r="8" spans="1:48" ht="12.75" customHeight="1" x14ac:dyDescent="0.45">
      <c r="C8" s="215">
        <v>3</v>
      </c>
      <c r="G8" s="178"/>
      <c r="H8" s="256" t="s">
        <v>1356</v>
      </c>
      <c r="I8" s="256"/>
      <c r="J8" s="256"/>
      <c r="K8" s="256"/>
      <c r="L8" s="257">
        <v>43179</v>
      </c>
      <c r="M8" s="257"/>
      <c r="N8" s="257"/>
      <c r="O8" s="257"/>
      <c r="P8" s="257"/>
      <c r="Q8" s="257"/>
      <c r="R8" s="257"/>
      <c r="S8" s="257"/>
      <c r="T8" s="179"/>
      <c r="U8" s="256" t="s">
        <v>1358</v>
      </c>
      <c r="V8" s="256"/>
      <c r="W8" s="256"/>
      <c r="X8" s="256"/>
      <c r="Y8" s="257">
        <v>43192</v>
      </c>
      <c r="Z8" s="257"/>
      <c r="AA8" s="257"/>
      <c r="AB8" s="257"/>
      <c r="AC8" s="257"/>
      <c r="AD8" s="257"/>
      <c r="AE8" s="257"/>
      <c r="AF8" s="257"/>
      <c r="AG8" s="179"/>
      <c r="AH8" s="256" t="s">
        <v>1361</v>
      </c>
      <c r="AI8" s="256"/>
      <c r="AJ8" s="256"/>
      <c r="AK8" s="256"/>
      <c r="AL8" s="256" t="str">
        <f>IFERROR(IF(VLOOKUP($C$8,Trailers!$A$7:$C$43,3,0)="","-",VLOOKUP($C$8,Trailers!$A$7:$C$43,3,0)),"-")</f>
        <v>Trailer 3</v>
      </c>
      <c r="AM8" s="256"/>
      <c r="AN8" s="256"/>
      <c r="AO8" s="256"/>
      <c r="AP8" s="256"/>
      <c r="AQ8" s="256"/>
      <c r="AR8" s="256"/>
      <c r="AS8" s="256"/>
    </row>
    <row r="9" spans="1:48" ht="12.75" customHeight="1" x14ac:dyDescent="0.45">
      <c r="C9" s="215">
        <v>1</v>
      </c>
      <c r="G9" s="178"/>
      <c r="H9" s="256" t="s">
        <v>1357</v>
      </c>
      <c r="I9" s="256"/>
      <c r="J9" s="256"/>
      <c r="K9" s="256"/>
      <c r="L9" s="256"/>
      <c r="M9" s="256"/>
      <c r="N9" s="256"/>
      <c r="O9" s="256"/>
      <c r="P9" s="256"/>
      <c r="Q9" s="256"/>
      <c r="R9" s="256"/>
      <c r="S9" s="256"/>
      <c r="T9" s="179"/>
      <c r="U9" s="256" t="s">
        <v>1359</v>
      </c>
      <c r="V9" s="256"/>
      <c r="W9" s="256"/>
      <c r="X9" s="256"/>
      <c r="Y9" s="256"/>
      <c r="Z9" s="256"/>
      <c r="AA9" s="256"/>
      <c r="AB9" s="256"/>
      <c r="AC9" s="256"/>
      <c r="AD9" s="256"/>
      <c r="AE9" s="256"/>
      <c r="AF9" s="256"/>
      <c r="AG9" s="179"/>
      <c r="AH9" s="256" t="s">
        <v>1362</v>
      </c>
      <c r="AI9" s="256"/>
      <c r="AJ9" s="256"/>
      <c r="AK9" s="256"/>
      <c r="AL9" s="256" t="str">
        <f>IFERROR(IF(VLOOKUP($C$9,Trailers!$A$7:$C$43,3,0)="","-",VLOOKUP($C$9,Trailers!$A$7:$C$43,3,0)),"-")</f>
        <v>Trailer 1</v>
      </c>
      <c r="AM9" s="256"/>
      <c r="AN9" s="256"/>
      <c r="AO9" s="256"/>
      <c r="AP9" s="256"/>
      <c r="AQ9" s="256"/>
      <c r="AR9" s="256"/>
      <c r="AS9" s="256"/>
    </row>
    <row r="10" spans="1:48" s="164" customFormat="1" ht="12.75" customHeight="1" x14ac:dyDescent="0.45">
      <c r="A10" s="213"/>
      <c r="B10" s="216"/>
      <c r="C10" s="215"/>
      <c r="D10" s="216"/>
      <c r="E10" s="216"/>
      <c r="F10" s="216"/>
      <c r="G10" s="178"/>
      <c r="H10" s="180"/>
      <c r="I10" s="180"/>
      <c r="J10" s="180"/>
      <c r="K10" s="180"/>
      <c r="L10" s="180"/>
      <c r="M10" s="180"/>
      <c r="N10" s="180"/>
      <c r="O10" s="180"/>
      <c r="P10" s="180"/>
      <c r="Q10" s="180"/>
      <c r="R10" s="180"/>
      <c r="S10" s="180"/>
      <c r="T10" s="179"/>
      <c r="U10" s="180"/>
      <c r="V10" s="180"/>
      <c r="W10" s="180"/>
      <c r="X10" s="180"/>
      <c r="Y10" s="180"/>
      <c r="Z10" s="180"/>
      <c r="AA10" s="180"/>
      <c r="AB10" s="180"/>
      <c r="AC10" s="180"/>
      <c r="AD10" s="180"/>
      <c r="AE10" s="180"/>
      <c r="AF10" s="180"/>
      <c r="AG10" s="179"/>
      <c r="AH10" s="180"/>
      <c r="AI10" s="180"/>
      <c r="AJ10" s="180"/>
      <c r="AK10" s="180"/>
      <c r="AL10" s="180"/>
      <c r="AM10" s="180"/>
      <c r="AN10" s="180"/>
      <c r="AO10" s="180"/>
      <c r="AP10" s="180"/>
      <c r="AQ10" s="180"/>
      <c r="AR10" s="180"/>
      <c r="AS10" s="180"/>
    </row>
    <row r="11" spans="1:48" ht="12.75" customHeight="1" x14ac:dyDescent="0.45">
      <c r="C11" s="215"/>
      <c r="G11" s="178"/>
      <c r="H11" s="178"/>
      <c r="I11" s="178"/>
      <c r="J11" s="178"/>
      <c r="K11" s="178"/>
      <c r="L11" s="178"/>
      <c r="M11" s="178"/>
      <c r="N11" s="178"/>
      <c r="O11" s="178"/>
      <c r="P11" s="178"/>
      <c r="Q11" s="178"/>
      <c r="R11" s="178"/>
      <c r="S11" s="178"/>
      <c r="T11" s="178"/>
      <c r="U11" s="178"/>
      <c r="V11" s="178"/>
      <c r="W11" s="178"/>
      <c r="X11" s="178"/>
      <c r="Y11" s="178"/>
      <c r="Z11" s="178"/>
      <c r="AA11" s="178"/>
      <c r="AB11" s="178"/>
      <c r="AC11" s="178"/>
      <c r="AD11" s="178"/>
      <c r="AE11" s="178"/>
      <c r="AF11" s="178"/>
      <c r="AG11" s="178"/>
      <c r="AH11" s="178"/>
      <c r="AI11" s="178"/>
      <c r="AJ11" s="178"/>
      <c r="AK11" s="178"/>
      <c r="AL11" s="178"/>
      <c r="AM11" s="178"/>
      <c r="AN11" s="178"/>
      <c r="AO11" s="178"/>
      <c r="AP11" s="178"/>
      <c r="AQ11" s="178"/>
      <c r="AR11" s="178"/>
      <c r="AS11" s="178"/>
    </row>
    <row r="12" spans="1:48" ht="12.75" customHeight="1" x14ac:dyDescent="0.45">
      <c r="B12" s="216" t="s">
        <v>1476</v>
      </c>
      <c r="C12" s="215"/>
      <c r="G12" s="239" t="s">
        <v>1385</v>
      </c>
      <c r="H12" s="239"/>
      <c r="I12" s="239"/>
      <c r="J12" s="239" t="s">
        <v>237</v>
      </c>
      <c r="K12" s="239"/>
      <c r="L12" s="239"/>
      <c r="M12" s="239"/>
      <c r="N12" s="239"/>
      <c r="O12" s="239"/>
      <c r="P12" s="239"/>
      <c r="Q12" s="239"/>
      <c r="R12" s="181"/>
      <c r="S12" s="181"/>
      <c r="T12" s="182"/>
      <c r="U12" s="182"/>
      <c r="V12" s="182"/>
      <c r="W12" s="183"/>
      <c r="X12" s="181"/>
      <c r="Y12" s="181"/>
      <c r="Z12" s="181"/>
      <c r="AA12" s="181"/>
      <c r="AB12" s="181"/>
      <c r="AC12" s="181"/>
      <c r="AD12" s="181"/>
      <c r="AE12" s="181"/>
      <c r="AF12" s="182"/>
      <c r="AG12" s="183"/>
      <c r="AH12" s="182"/>
      <c r="AI12" s="184"/>
      <c r="AJ12" s="182"/>
      <c r="AK12" s="183"/>
      <c r="AL12" s="183"/>
      <c r="AM12" s="182"/>
      <c r="AN12" s="182"/>
      <c r="AO12" s="182"/>
      <c r="AP12" s="182"/>
      <c r="AQ12" s="182"/>
      <c r="AR12" s="182"/>
      <c r="AS12" s="182"/>
    </row>
    <row r="13" spans="1:48" ht="12.5" customHeight="1" x14ac:dyDescent="0.45">
      <c r="A13" s="219"/>
      <c r="B13" s="220">
        <f>COUNTIF(C13:C18,"CATEGORY_START")</f>
        <v>1</v>
      </c>
      <c r="C13" s="220" t="s">
        <v>1478</v>
      </c>
      <c r="D13" s="219"/>
      <c r="E13" s="219"/>
      <c r="F13" s="217"/>
      <c r="G13" s="202"/>
      <c r="H13" s="288" t="s">
        <v>1391</v>
      </c>
      <c r="I13" s="288"/>
      <c r="J13" s="288"/>
      <c r="K13" s="288"/>
      <c r="L13" s="288"/>
      <c r="M13" s="288"/>
      <c r="N13" s="288"/>
      <c r="O13" s="288"/>
      <c r="P13" s="288"/>
      <c r="Q13" s="288"/>
      <c r="R13" s="203"/>
      <c r="S13" s="203"/>
      <c r="T13" s="203"/>
      <c r="U13" s="203"/>
      <c r="V13" s="203"/>
      <c r="W13" s="203"/>
      <c r="X13" s="203"/>
      <c r="Y13" s="203"/>
      <c r="Z13" s="203"/>
      <c r="AA13" s="203"/>
      <c r="AB13" s="203"/>
      <c r="AC13" s="203"/>
      <c r="AD13" s="203"/>
      <c r="AE13" s="203"/>
      <c r="AF13" s="203"/>
      <c r="AG13" s="203"/>
      <c r="AH13" s="203"/>
      <c r="AI13" s="203"/>
      <c r="AJ13" s="203"/>
      <c r="AK13" s="203"/>
      <c r="AL13" s="203"/>
      <c r="AM13" s="203"/>
      <c r="AN13" s="203"/>
      <c r="AO13" s="203"/>
      <c r="AP13" s="203"/>
      <c r="AQ13" s="203"/>
      <c r="AR13" s="203"/>
      <c r="AS13" s="204"/>
      <c r="AT13" s="201"/>
      <c r="AU13" s="201"/>
      <c r="AV13" s="187"/>
    </row>
    <row r="14" spans="1:48" ht="12.5" customHeight="1" x14ac:dyDescent="0.45">
      <c r="A14" s="219"/>
      <c r="B14" s="220"/>
      <c r="C14" s="220"/>
      <c r="D14" s="219"/>
      <c r="E14" s="219"/>
      <c r="F14" s="219"/>
      <c r="G14" s="186"/>
      <c r="H14" s="205"/>
      <c r="I14" s="240" t="s">
        <v>0</v>
      </c>
      <c r="J14" s="240"/>
      <c r="K14" s="240"/>
      <c r="L14" s="240"/>
      <c r="M14" s="240"/>
      <c r="N14" s="240"/>
      <c r="O14" s="240" t="s">
        <v>1392</v>
      </c>
      <c r="P14" s="240"/>
      <c r="Q14" s="240"/>
      <c r="R14" s="240" t="s">
        <v>1393</v>
      </c>
      <c r="S14" s="240"/>
      <c r="T14" s="240"/>
      <c r="U14" s="240"/>
      <c r="V14" s="240"/>
      <c r="W14" s="240"/>
      <c r="X14" s="240"/>
      <c r="Y14" s="240" t="s">
        <v>1394</v>
      </c>
      <c r="Z14" s="240"/>
      <c r="AA14" s="240"/>
      <c r="AB14" s="240"/>
      <c r="AC14" s="240"/>
      <c r="AD14" s="240" t="s">
        <v>1383</v>
      </c>
      <c r="AE14" s="240"/>
      <c r="AF14" s="240"/>
      <c r="AG14" s="240"/>
      <c r="AH14" s="240"/>
      <c r="AI14" s="240"/>
      <c r="AJ14" s="240"/>
      <c r="AK14" s="240" t="s">
        <v>1395</v>
      </c>
      <c r="AL14" s="240"/>
      <c r="AM14" s="240"/>
      <c r="AN14" s="240"/>
      <c r="AO14" s="240"/>
      <c r="AP14" s="241" t="s">
        <v>468</v>
      </c>
      <c r="AQ14" s="241"/>
      <c r="AR14" s="241"/>
      <c r="AS14" s="242"/>
      <c r="AT14" s="201"/>
      <c r="AU14" s="201"/>
      <c r="AV14" s="187"/>
    </row>
    <row r="15" spans="1:48" s="164" customFormat="1" ht="12.5" customHeight="1" x14ac:dyDescent="0.45">
      <c r="A15" s="219"/>
      <c r="B15" s="220"/>
      <c r="C15" s="220">
        <f>COUNTA(I15:N17)</f>
        <v>1</v>
      </c>
      <c r="D15" s="219"/>
      <c r="E15" s="219"/>
      <c r="F15" s="219">
        <f>COUNTA(I15:N17)</f>
        <v>1</v>
      </c>
      <c r="G15" s="189"/>
      <c r="H15" s="189"/>
      <c r="I15" s="243" t="s">
        <v>82</v>
      </c>
      <c r="J15" s="243"/>
      <c r="K15" s="243"/>
      <c r="L15" s="243"/>
      <c r="M15" s="243"/>
      <c r="N15" s="244"/>
      <c r="O15" s="245">
        <v>2</v>
      </c>
      <c r="P15" s="246"/>
      <c r="Q15" s="247"/>
      <c r="R15" s="248">
        <v>23</v>
      </c>
      <c r="S15" s="248"/>
      <c r="T15" s="248"/>
      <c r="U15" s="248"/>
      <c r="V15" s="248"/>
      <c r="W15" s="248"/>
      <c r="X15" s="248"/>
      <c r="Y15" s="249" t="s">
        <v>1472</v>
      </c>
      <c r="Z15" s="249"/>
      <c r="AA15" s="249"/>
      <c r="AB15" s="249"/>
      <c r="AC15" s="249"/>
      <c r="AD15" s="248">
        <v>20</v>
      </c>
      <c r="AE15" s="248"/>
      <c r="AF15" s="248"/>
      <c r="AG15" s="248"/>
      <c r="AH15" s="248"/>
      <c r="AI15" s="248"/>
      <c r="AJ15" s="248"/>
      <c r="AK15" s="249" t="s">
        <v>526</v>
      </c>
      <c r="AL15" s="249"/>
      <c r="AM15" s="249"/>
      <c r="AN15" s="249"/>
      <c r="AO15" s="249"/>
      <c r="AP15" s="249"/>
      <c r="AQ15" s="249"/>
      <c r="AR15" s="249"/>
      <c r="AS15" s="250"/>
      <c r="AT15" s="206"/>
      <c r="AU15" s="201"/>
      <c r="AV15" s="187"/>
    </row>
    <row r="16" spans="1:48" ht="12.5" customHeight="1" thickBot="1" x14ac:dyDescent="0.5">
      <c r="A16" s="219"/>
      <c r="B16" s="220"/>
      <c r="C16" s="220"/>
      <c r="D16" s="219"/>
      <c r="E16" s="219"/>
      <c r="F16" s="219"/>
      <c r="G16" s="207"/>
      <c r="H16" s="207"/>
      <c r="I16" s="222"/>
      <c r="J16" s="222"/>
      <c r="K16" s="222"/>
      <c r="L16" s="190"/>
      <c r="M16" s="190"/>
      <c r="N16" s="190"/>
      <c r="O16" s="190"/>
      <c r="P16" s="190"/>
      <c r="Q16" s="190"/>
      <c r="R16" s="289" t="str">
        <f>H13&amp;" Total"</f>
        <v>Northbound Total</v>
      </c>
      <c r="S16" s="289"/>
      <c r="T16" s="289"/>
      <c r="U16" s="289"/>
      <c r="V16" s="289"/>
      <c r="W16" s="289"/>
      <c r="X16" s="289"/>
      <c r="Y16" s="289"/>
      <c r="Z16" s="289"/>
      <c r="AA16" s="289"/>
      <c r="AB16" s="289"/>
      <c r="AC16" s="289"/>
      <c r="AD16" s="251">
        <f>SUM($AD$15:AD15)</f>
        <v>20</v>
      </c>
      <c r="AE16" s="252"/>
      <c r="AF16" s="252"/>
      <c r="AG16" s="252"/>
      <c r="AH16" s="252"/>
      <c r="AI16" s="252"/>
      <c r="AJ16" s="252"/>
      <c r="AK16" s="253"/>
      <c r="AL16" s="254"/>
      <c r="AM16" s="254"/>
      <c r="AN16" s="254"/>
      <c r="AO16" s="254"/>
      <c r="AP16" s="178"/>
      <c r="AQ16" s="178"/>
      <c r="AR16" s="178"/>
      <c r="AS16" s="178"/>
      <c r="AT16" s="206"/>
      <c r="AU16" s="201"/>
      <c r="AV16" s="187"/>
    </row>
    <row r="17" spans="1:48" ht="12.5" customHeight="1" thickTop="1" x14ac:dyDescent="0.45">
      <c r="A17" s="219"/>
      <c r="B17" s="220"/>
      <c r="C17" s="220" t="s">
        <v>1479</v>
      </c>
      <c r="D17" s="219"/>
      <c r="E17" s="219"/>
      <c r="F17" s="219"/>
      <c r="G17" s="207"/>
      <c r="H17" s="207"/>
      <c r="I17" s="207"/>
      <c r="J17" s="207"/>
      <c r="K17" s="207"/>
      <c r="L17" s="208"/>
      <c r="M17" s="208"/>
      <c r="N17" s="208"/>
      <c r="O17" s="208"/>
      <c r="P17" s="208"/>
      <c r="Q17" s="208"/>
      <c r="R17" s="208"/>
      <c r="S17" s="208"/>
      <c r="T17" s="207"/>
      <c r="U17" s="207"/>
      <c r="V17" s="207"/>
      <c r="W17" s="207"/>
      <c r="X17" s="207"/>
      <c r="Y17" s="209"/>
      <c r="Z17" s="209"/>
      <c r="AA17" s="209"/>
      <c r="AB17" s="209"/>
      <c r="AC17" s="209"/>
      <c r="AD17" s="210"/>
      <c r="AE17" s="210"/>
      <c r="AF17" s="210"/>
      <c r="AG17" s="210"/>
      <c r="AH17" s="210"/>
      <c r="AI17" s="210"/>
      <c r="AJ17" s="210"/>
      <c r="AK17" s="208"/>
      <c r="AL17" s="208"/>
      <c r="AM17" s="208"/>
      <c r="AN17" s="208"/>
      <c r="AO17" s="208"/>
      <c r="AP17" s="185"/>
      <c r="AQ17" s="185"/>
      <c r="AR17" s="185"/>
      <c r="AS17" s="185"/>
      <c r="AT17" s="211"/>
      <c r="AU17" s="201"/>
      <c r="AV17" s="187"/>
    </row>
    <row r="18" spans="1:48" ht="12.5" customHeight="1" x14ac:dyDescent="0.35">
      <c r="A18" s="164"/>
      <c r="B18" s="216" t="s">
        <v>1477</v>
      </c>
      <c r="G18" s="164"/>
      <c r="H18" s="164"/>
      <c r="I18" s="164"/>
      <c r="J18" s="164"/>
      <c r="K18" s="164"/>
      <c r="L18" s="164"/>
      <c r="M18" s="164"/>
      <c r="N18" s="164"/>
      <c r="O18" s="164"/>
      <c r="P18" s="164"/>
      <c r="Q18" s="164"/>
      <c r="R18" s="164"/>
      <c r="S18" s="164"/>
      <c r="T18" s="164"/>
      <c r="U18" s="164"/>
      <c r="V18" s="164"/>
      <c r="W18" s="164"/>
      <c r="X18" s="164"/>
      <c r="Y18" s="164"/>
      <c r="Z18" s="164"/>
      <c r="AA18" s="164"/>
      <c r="AB18" s="164"/>
      <c r="AC18" s="164"/>
      <c r="AD18" s="164"/>
      <c r="AE18" s="164"/>
      <c r="AF18" s="164"/>
      <c r="AG18" s="164"/>
      <c r="AH18" s="164"/>
      <c r="AI18" s="164"/>
      <c r="AJ18" s="164"/>
      <c r="AK18" s="164"/>
      <c r="AL18" s="164"/>
      <c r="AM18" s="164"/>
      <c r="AN18" s="164"/>
      <c r="AO18" s="164"/>
      <c r="AP18" s="164"/>
      <c r="AQ18" s="164"/>
      <c r="AR18" s="164"/>
      <c r="AS18" s="164"/>
      <c r="AT18" s="164"/>
      <c r="AU18" s="164"/>
      <c r="AV18" s="164"/>
    </row>
    <row r="19" spans="1:48" ht="12.5" customHeight="1" x14ac:dyDescent="0.45">
      <c r="A19" s="219"/>
      <c r="B19" s="220" t="s">
        <v>1476</v>
      </c>
      <c r="C19" s="220"/>
      <c r="D19" s="219">
        <f>COUNTIF(C20:C25,"CATEGORY_START")</f>
        <v>1</v>
      </c>
      <c r="E19" s="219">
        <f>COUNTA(H20:H25)</f>
        <v>0</v>
      </c>
      <c r="F19" s="219"/>
      <c r="G19" s="237" t="s">
        <v>1385</v>
      </c>
      <c r="H19" s="238"/>
      <c r="I19" s="238"/>
      <c r="J19" s="239" t="s">
        <v>246</v>
      </c>
      <c r="K19" s="239"/>
      <c r="L19" s="239"/>
      <c r="M19" s="239"/>
      <c r="N19" s="239"/>
      <c r="O19" s="239"/>
      <c r="P19" s="239"/>
      <c r="Q19" s="239"/>
      <c r="R19" s="196"/>
      <c r="S19" s="196"/>
      <c r="T19" s="197"/>
      <c r="U19" s="197"/>
      <c r="V19" s="197"/>
      <c r="W19" s="223"/>
      <c r="X19" s="196"/>
      <c r="Y19" s="196"/>
      <c r="Z19" s="196"/>
      <c r="AA19" s="196"/>
      <c r="AB19" s="196"/>
      <c r="AC19" s="196"/>
      <c r="AD19" s="196"/>
      <c r="AE19" s="196"/>
      <c r="AF19" s="197"/>
      <c r="AG19" s="223"/>
      <c r="AH19" s="197"/>
      <c r="AI19" s="199"/>
      <c r="AJ19" s="197"/>
      <c r="AK19" s="223"/>
      <c r="AL19" s="223"/>
      <c r="AM19" s="197"/>
      <c r="AN19" s="197"/>
      <c r="AO19" s="197"/>
      <c r="AP19" s="197"/>
      <c r="AQ19" s="197"/>
      <c r="AR19" s="197"/>
      <c r="AS19" s="200"/>
      <c r="AT19" s="201"/>
      <c r="AU19" s="201"/>
      <c r="AV19" s="187"/>
    </row>
    <row r="20" spans="1:48" ht="12.5" customHeight="1" x14ac:dyDescent="0.45">
      <c r="A20" s="219"/>
      <c r="B20" s="220">
        <f>COUNTIF(C20:C25,"CATEGORY_START")</f>
        <v>1</v>
      </c>
      <c r="C20" s="220" t="s">
        <v>1478</v>
      </c>
      <c r="D20" s="219"/>
      <c r="E20" s="219"/>
      <c r="F20" s="217"/>
      <c r="G20" s="202"/>
      <c r="H20" s="288"/>
      <c r="I20" s="288"/>
      <c r="J20" s="288"/>
      <c r="K20" s="288"/>
      <c r="L20" s="288"/>
      <c r="M20" s="288"/>
      <c r="N20" s="288"/>
      <c r="O20" s="288"/>
      <c r="P20" s="288"/>
      <c r="Q20" s="288"/>
      <c r="R20" s="203"/>
      <c r="S20" s="203"/>
      <c r="T20" s="203"/>
      <c r="U20" s="203"/>
      <c r="V20" s="203"/>
      <c r="W20" s="203"/>
      <c r="X20" s="203"/>
      <c r="Y20" s="203"/>
      <c r="Z20" s="203"/>
      <c r="AA20" s="203"/>
      <c r="AB20" s="203"/>
      <c r="AC20" s="203"/>
      <c r="AD20" s="203"/>
      <c r="AE20" s="203"/>
      <c r="AF20" s="203"/>
      <c r="AG20" s="203"/>
      <c r="AH20" s="203"/>
      <c r="AI20" s="203"/>
      <c r="AJ20" s="203"/>
      <c r="AK20" s="203"/>
      <c r="AL20" s="203"/>
      <c r="AM20" s="203"/>
      <c r="AN20" s="203"/>
      <c r="AO20" s="203"/>
      <c r="AP20" s="203"/>
      <c r="AQ20" s="203"/>
      <c r="AR20" s="203"/>
      <c r="AS20" s="204"/>
      <c r="AT20" s="201"/>
      <c r="AU20" s="201"/>
      <c r="AV20" s="187"/>
    </row>
    <row r="21" spans="1:48" ht="12.5" customHeight="1" x14ac:dyDescent="0.45">
      <c r="A21" s="219"/>
      <c r="B21" s="220"/>
      <c r="C21" s="220"/>
      <c r="D21" s="219"/>
      <c r="E21" s="219"/>
      <c r="F21" s="219"/>
      <c r="G21" s="186"/>
      <c r="H21" s="205"/>
      <c r="I21" s="240" t="s">
        <v>0</v>
      </c>
      <c r="J21" s="240"/>
      <c r="K21" s="240"/>
      <c r="L21" s="240"/>
      <c r="M21" s="240"/>
      <c r="N21" s="240"/>
      <c r="O21" s="240" t="s">
        <v>1392</v>
      </c>
      <c r="P21" s="240"/>
      <c r="Q21" s="240"/>
      <c r="R21" s="240" t="s">
        <v>1393</v>
      </c>
      <c r="S21" s="240"/>
      <c r="T21" s="240"/>
      <c r="U21" s="240"/>
      <c r="V21" s="240"/>
      <c r="W21" s="240"/>
      <c r="X21" s="240"/>
      <c r="Y21" s="240" t="s">
        <v>1394</v>
      </c>
      <c r="Z21" s="240"/>
      <c r="AA21" s="240"/>
      <c r="AB21" s="240"/>
      <c r="AC21" s="240"/>
      <c r="AD21" s="240" t="s">
        <v>1383</v>
      </c>
      <c r="AE21" s="240"/>
      <c r="AF21" s="240"/>
      <c r="AG21" s="240"/>
      <c r="AH21" s="240"/>
      <c r="AI21" s="240"/>
      <c r="AJ21" s="240"/>
      <c r="AK21" s="240" t="s">
        <v>1395</v>
      </c>
      <c r="AL21" s="240"/>
      <c r="AM21" s="240"/>
      <c r="AN21" s="240"/>
      <c r="AO21" s="240"/>
      <c r="AP21" s="241" t="s">
        <v>468</v>
      </c>
      <c r="AQ21" s="241"/>
      <c r="AR21" s="241"/>
      <c r="AS21" s="242"/>
      <c r="AT21" s="201"/>
      <c r="AU21" s="201"/>
      <c r="AV21" s="187"/>
    </row>
    <row r="22" spans="1:48" ht="12.5" customHeight="1" x14ac:dyDescent="0.45">
      <c r="A22" s="219"/>
      <c r="B22" s="220"/>
      <c r="C22" s="220">
        <f>COUNTA(I22:N23)</f>
        <v>1</v>
      </c>
      <c r="D22" s="219"/>
      <c r="E22" s="219"/>
      <c r="F22" s="219">
        <f>COUNTA(I22:N23)</f>
        <v>1</v>
      </c>
      <c r="G22" s="189"/>
      <c r="H22" s="189"/>
      <c r="I22" s="243" t="s">
        <v>93</v>
      </c>
      <c r="J22" s="243"/>
      <c r="K22" s="243"/>
      <c r="L22" s="243"/>
      <c r="M22" s="243"/>
      <c r="N22" s="244"/>
      <c r="O22" s="245"/>
      <c r="P22" s="246"/>
      <c r="Q22" s="247"/>
      <c r="R22" s="248">
        <v>10</v>
      </c>
      <c r="S22" s="248"/>
      <c r="T22" s="248"/>
      <c r="U22" s="248"/>
      <c r="V22" s="248"/>
      <c r="W22" s="248"/>
      <c r="X22" s="248"/>
      <c r="Y22" s="249" t="s">
        <v>54</v>
      </c>
      <c r="Z22" s="249"/>
      <c r="AA22" s="249"/>
      <c r="AB22" s="249"/>
      <c r="AC22" s="249"/>
      <c r="AD22" s="248">
        <v>10</v>
      </c>
      <c r="AE22" s="248"/>
      <c r="AF22" s="248"/>
      <c r="AG22" s="248"/>
      <c r="AH22" s="248"/>
      <c r="AI22" s="248"/>
      <c r="AJ22" s="248"/>
      <c r="AK22" s="249" t="s">
        <v>54</v>
      </c>
      <c r="AL22" s="249"/>
      <c r="AM22" s="249"/>
      <c r="AN22" s="249"/>
      <c r="AO22" s="249"/>
      <c r="AP22" s="249"/>
      <c r="AQ22" s="249"/>
      <c r="AR22" s="249"/>
      <c r="AS22" s="250"/>
      <c r="AT22" s="206"/>
      <c r="AU22" s="201"/>
      <c r="AV22" s="187"/>
    </row>
    <row r="23" spans="1:48" ht="12.5" customHeight="1" thickBot="1" x14ac:dyDescent="0.5">
      <c r="A23" s="219"/>
      <c r="B23" s="220"/>
      <c r="C23" s="220"/>
      <c r="D23" s="294">
        <f>AD23</f>
        <v>10</v>
      </c>
      <c r="E23" s="219"/>
      <c r="F23" s="219"/>
      <c r="G23" s="207"/>
      <c r="H23" s="207"/>
      <c r="I23" s="224"/>
      <c r="J23" s="224"/>
      <c r="K23" s="224"/>
      <c r="L23" s="190"/>
      <c r="M23" s="190"/>
      <c r="N23" s="190"/>
      <c r="O23" s="190"/>
      <c r="P23" s="190"/>
      <c r="Q23" s="190"/>
      <c r="R23" s="289" t="str">
        <f>H20&amp;" Total"</f>
        <v xml:space="preserve"> Total</v>
      </c>
      <c r="S23" s="289"/>
      <c r="T23" s="289"/>
      <c r="U23" s="289"/>
      <c r="V23" s="289"/>
      <c r="W23" s="289"/>
      <c r="X23" s="289"/>
      <c r="Y23" s="289"/>
      <c r="Z23" s="289"/>
      <c r="AA23" s="289"/>
      <c r="AB23" s="289"/>
      <c r="AC23" s="289"/>
      <c r="AD23" s="251">
        <f>SUM(AD22:AD22)</f>
        <v>10</v>
      </c>
      <c r="AE23" s="252"/>
      <c r="AF23" s="252"/>
      <c r="AG23" s="252"/>
      <c r="AH23" s="252"/>
      <c r="AI23" s="252"/>
      <c r="AJ23" s="252"/>
      <c r="AK23" s="253"/>
      <c r="AL23" s="254"/>
      <c r="AM23" s="254"/>
      <c r="AN23" s="254"/>
      <c r="AO23" s="254"/>
      <c r="AP23" s="178"/>
      <c r="AQ23" s="178"/>
      <c r="AR23" s="178"/>
      <c r="AS23" s="178"/>
      <c r="AT23" s="206"/>
      <c r="AU23" s="201"/>
      <c r="AV23" s="187"/>
    </row>
    <row r="24" spans="1:48" ht="12.5" customHeight="1" thickTop="1" x14ac:dyDescent="0.45">
      <c r="A24" s="219"/>
      <c r="B24" s="220"/>
      <c r="C24" s="220" t="s">
        <v>1479</v>
      </c>
      <c r="D24" s="219"/>
      <c r="E24" s="219"/>
      <c r="F24" s="219"/>
      <c r="G24" s="207"/>
      <c r="H24" s="207"/>
      <c r="I24" s="207"/>
      <c r="J24" s="207"/>
      <c r="K24" s="207"/>
      <c r="L24" s="208"/>
      <c r="M24" s="208"/>
      <c r="N24" s="208"/>
      <c r="O24" s="208"/>
      <c r="P24" s="208"/>
      <c r="Q24" s="208"/>
      <c r="R24" s="208"/>
      <c r="S24" s="208"/>
      <c r="T24" s="207"/>
      <c r="U24" s="207"/>
      <c r="V24" s="207"/>
      <c r="W24" s="207"/>
      <c r="X24" s="207"/>
      <c r="Y24" s="209"/>
      <c r="Z24" s="209"/>
      <c r="AA24" s="209"/>
      <c r="AB24" s="209"/>
      <c r="AC24" s="209"/>
      <c r="AD24" s="210"/>
      <c r="AE24" s="210"/>
      <c r="AF24" s="210"/>
      <c r="AG24" s="210"/>
      <c r="AH24" s="210"/>
      <c r="AI24" s="210"/>
      <c r="AJ24" s="210"/>
      <c r="AK24" s="208"/>
      <c r="AL24" s="208"/>
      <c r="AM24" s="208"/>
      <c r="AN24" s="208"/>
      <c r="AO24" s="208"/>
      <c r="AP24" s="185"/>
      <c r="AQ24" s="185"/>
      <c r="AR24" s="185"/>
      <c r="AS24" s="185"/>
      <c r="AT24" s="211"/>
      <c r="AU24" s="201"/>
      <c r="AV24" s="187"/>
    </row>
    <row r="25" spans="1:48" ht="12.5" customHeight="1" x14ac:dyDescent="0.4">
      <c r="A25" s="217"/>
      <c r="B25" s="221" t="s">
        <v>1477</v>
      </c>
      <c r="C25" s="221"/>
      <c r="D25" s="219"/>
      <c r="E25" s="219"/>
      <c r="F25" s="217"/>
      <c r="G25" s="164"/>
      <c r="H25" s="164"/>
      <c r="I25" s="164"/>
      <c r="J25" s="164"/>
      <c r="K25" s="164"/>
      <c r="L25" s="164"/>
      <c r="M25" s="164"/>
      <c r="N25" s="164"/>
      <c r="O25" s="164"/>
      <c r="P25" s="164"/>
      <c r="Q25" s="164"/>
      <c r="R25" s="164"/>
      <c r="S25" s="164"/>
      <c r="T25" s="164"/>
      <c r="U25" s="164"/>
      <c r="V25" s="164"/>
      <c r="W25" s="164"/>
      <c r="X25" s="164"/>
      <c r="Y25" s="164"/>
      <c r="Z25" s="164"/>
      <c r="AA25" s="164"/>
      <c r="AB25" s="164"/>
      <c r="AC25" s="164"/>
      <c r="AD25" s="164"/>
      <c r="AE25" s="164"/>
      <c r="AF25" s="164"/>
      <c r="AG25" s="164"/>
      <c r="AH25" s="164"/>
      <c r="AI25" s="164"/>
      <c r="AJ25" s="164"/>
      <c r="AK25" s="164"/>
      <c r="AL25" s="164"/>
      <c r="AM25" s="164"/>
      <c r="AN25" s="164"/>
      <c r="AO25" s="164"/>
      <c r="AP25" s="164"/>
      <c r="AQ25" s="164"/>
      <c r="AR25" s="164"/>
      <c r="AS25" s="164"/>
      <c r="AT25" s="164"/>
      <c r="AU25" s="164"/>
      <c r="AV25" s="164"/>
    </row>
    <row r="26" spans="1:48" ht="12.5" customHeight="1" x14ac:dyDescent="0.35">
      <c r="C26" s="215"/>
      <c r="G26" s="255" t="s">
        <v>92</v>
      </c>
      <c r="H26" s="255"/>
      <c r="I26" s="255"/>
      <c r="J26" s="182"/>
      <c r="K26" s="182"/>
      <c r="L26" s="182"/>
      <c r="M26" s="182"/>
      <c r="N26" s="182"/>
      <c r="O26" s="182"/>
      <c r="P26" s="182"/>
      <c r="Q26" s="182"/>
      <c r="R26" s="182"/>
      <c r="S26" s="182"/>
      <c r="T26" s="182"/>
      <c r="U26" s="182"/>
      <c r="V26" s="182"/>
      <c r="W26" s="182"/>
      <c r="X26" s="182"/>
      <c r="Y26" s="182"/>
      <c r="Z26" s="182"/>
      <c r="AA26" s="182"/>
      <c r="AB26" s="182"/>
      <c r="AC26" s="182"/>
      <c r="AD26" s="182"/>
      <c r="AE26" s="182"/>
      <c r="AF26" s="182"/>
      <c r="AG26" s="182"/>
      <c r="AH26" s="182"/>
      <c r="AI26" s="182"/>
      <c r="AJ26" s="182"/>
      <c r="AK26" s="182"/>
      <c r="AL26" s="182"/>
      <c r="AM26" s="182"/>
      <c r="AN26" s="182"/>
      <c r="AO26" s="182"/>
      <c r="AP26" s="182"/>
      <c r="AQ26" s="182"/>
      <c r="AR26" s="182"/>
      <c r="AS26" s="182"/>
    </row>
    <row r="27" spans="1:48" ht="12.5" customHeight="1" x14ac:dyDescent="0.35">
      <c r="C27" s="215"/>
      <c r="G27" s="188"/>
      <c r="H27" s="186"/>
      <c r="I27" s="240" t="s">
        <v>0</v>
      </c>
      <c r="J27" s="240"/>
      <c r="K27" s="240"/>
      <c r="L27" s="240"/>
      <c r="M27" s="240"/>
      <c r="N27" s="240"/>
      <c r="O27" s="240" t="s">
        <v>1392</v>
      </c>
      <c r="P27" s="240"/>
      <c r="Q27" s="240"/>
      <c r="R27" s="240" t="s">
        <v>1393</v>
      </c>
      <c r="S27" s="240"/>
      <c r="T27" s="240"/>
      <c r="U27" s="240"/>
      <c r="V27" s="240"/>
      <c r="W27" s="240"/>
      <c r="X27" s="240"/>
      <c r="Y27" s="240" t="s">
        <v>1394</v>
      </c>
      <c r="Z27" s="240"/>
      <c r="AA27" s="240"/>
      <c r="AB27" s="240"/>
      <c r="AC27" s="240"/>
      <c r="AD27" s="240" t="s">
        <v>1383</v>
      </c>
      <c r="AE27" s="240"/>
      <c r="AF27" s="240"/>
      <c r="AG27" s="240"/>
      <c r="AH27" s="240"/>
      <c r="AI27" s="240"/>
      <c r="AJ27" s="240"/>
      <c r="AK27" s="240" t="s">
        <v>1395</v>
      </c>
      <c r="AL27" s="240"/>
      <c r="AM27" s="240"/>
      <c r="AN27" s="240"/>
      <c r="AO27" s="240"/>
      <c r="AP27" s="241" t="s">
        <v>468</v>
      </c>
      <c r="AQ27" s="241"/>
      <c r="AR27" s="241"/>
      <c r="AS27" s="242"/>
      <c r="AT27" s="164"/>
      <c r="AU27" s="164"/>
    </row>
    <row r="28" spans="1:48" ht="12.5" customHeight="1" x14ac:dyDescent="0.45">
      <c r="C28" s="215"/>
      <c r="G28" s="188"/>
      <c r="H28" s="187"/>
      <c r="I28" s="243" t="s">
        <v>93</v>
      </c>
      <c r="J28" s="243"/>
      <c r="K28" s="243"/>
      <c r="L28" s="243"/>
      <c r="M28" s="243"/>
      <c r="N28" s="244"/>
      <c r="O28" s="245"/>
      <c r="P28" s="246"/>
      <c r="Q28" s="247"/>
      <c r="R28" s="248">
        <v>10</v>
      </c>
      <c r="S28" s="248"/>
      <c r="T28" s="248"/>
      <c r="U28" s="248"/>
      <c r="V28" s="248"/>
      <c r="W28" s="248"/>
      <c r="X28" s="248"/>
      <c r="Y28" s="249" t="s">
        <v>54</v>
      </c>
      <c r="Z28" s="249"/>
      <c r="AA28" s="249"/>
      <c r="AB28" s="249"/>
      <c r="AC28" s="249"/>
      <c r="AD28" s="248">
        <v>10</v>
      </c>
      <c r="AE28" s="248"/>
      <c r="AF28" s="248"/>
      <c r="AG28" s="248"/>
      <c r="AH28" s="248"/>
      <c r="AI28" s="248"/>
      <c r="AJ28" s="248"/>
      <c r="AK28" s="249" t="s">
        <v>54</v>
      </c>
      <c r="AL28" s="249"/>
      <c r="AM28" s="249"/>
      <c r="AN28" s="249"/>
      <c r="AO28" s="249"/>
      <c r="AP28" s="249"/>
      <c r="AQ28" s="249"/>
      <c r="AR28" s="249"/>
      <c r="AS28" s="250"/>
      <c r="AT28" s="162"/>
      <c r="AU28" s="164"/>
    </row>
    <row r="29" spans="1:48" ht="12.5" customHeight="1" x14ac:dyDescent="0.35">
      <c r="C29" s="215"/>
      <c r="G29" s="191"/>
      <c r="H29" s="191"/>
      <c r="I29" s="191"/>
      <c r="J29" s="191"/>
      <c r="K29" s="191"/>
      <c r="L29" s="191"/>
      <c r="M29" s="191"/>
      <c r="N29" s="191"/>
      <c r="O29" s="191"/>
      <c r="P29" s="191"/>
      <c r="Q29" s="191"/>
      <c r="R29" s="191"/>
      <c r="S29" s="191"/>
      <c r="T29" s="191"/>
      <c r="U29" s="191"/>
      <c r="V29" s="191"/>
      <c r="W29" s="191"/>
      <c r="X29" s="191"/>
      <c r="Y29" s="191"/>
      <c r="Z29" s="191"/>
      <c r="AA29" s="191"/>
      <c r="AB29" s="191"/>
      <c r="AC29" s="191"/>
      <c r="AD29" s="191"/>
      <c r="AE29" s="191"/>
      <c r="AF29" s="191"/>
      <c r="AG29" s="191"/>
      <c r="AH29" s="191"/>
      <c r="AI29" s="191"/>
      <c r="AJ29" s="191"/>
      <c r="AK29" s="191"/>
      <c r="AL29" s="191"/>
      <c r="AM29" s="191"/>
      <c r="AN29" s="191"/>
      <c r="AO29" s="191"/>
      <c r="AP29" s="191"/>
      <c r="AQ29" s="191"/>
      <c r="AR29" s="191"/>
      <c r="AS29" s="191"/>
    </row>
    <row r="30" spans="1:48" ht="12.5" customHeight="1" x14ac:dyDescent="0.35">
      <c r="C30" s="215"/>
      <c r="G30" s="188"/>
      <c r="H30" s="188"/>
      <c r="I30" s="188"/>
      <c r="J30" s="188"/>
      <c r="K30" s="188"/>
      <c r="L30" s="188"/>
      <c r="M30" s="188"/>
      <c r="N30" s="188"/>
      <c r="O30" s="188"/>
      <c r="P30" s="188"/>
      <c r="Q30" s="188"/>
      <c r="R30" s="188"/>
      <c r="S30" s="188"/>
      <c r="T30" s="188"/>
      <c r="U30" s="188"/>
      <c r="V30" s="188"/>
      <c r="W30" s="188"/>
      <c r="X30" s="188"/>
      <c r="Y30" s="188"/>
      <c r="Z30" s="188"/>
      <c r="AA30" s="188"/>
      <c r="AB30" s="188"/>
      <c r="AC30" s="188"/>
      <c r="AD30" s="188"/>
      <c r="AE30" s="188"/>
      <c r="AF30" s="188"/>
      <c r="AG30" s="188"/>
      <c r="AH30" s="188"/>
      <c r="AI30" s="188"/>
      <c r="AJ30" s="188"/>
      <c r="AK30" s="188"/>
      <c r="AL30" s="188"/>
      <c r="AM30" s="188"/>
      <c r="AN30" s="188"/>
      <c r="AO30" s="188"/>
      <c r="AP30" s="188"/>
      <c r="AQ30" s="188"/>
      <c r="AR30" s="188"/>
      <c r="AS30" s="188"/>
      <c r="AT30" s="164"/>
      <c r="AU30" s="164"/>
    </row>
    <row r="31" spans="1:48" ht="12.5" customHeight="1" thickBot="1" x14ac:dyDescent="0.4">
      <c r="G31" s="188"/>
      <c r="H31" s="188"/>
      <c r="I31" s="188"/>
      <c r="J31" s="188"/>
      <c r="K31" s="188"/>
      <c r="L31" s="188"/>
      <c r="M31" s="188"/>
      <c r="N31" s="188"/>
      <c r="O31" s="188"/>
      <c r="P31" s="188"/>
      <c r="Q31" s="188"/>
      <c r="R31" s="188"/>
      <c r="S31" s="188"/>
      <c r="T31" s="188"/>
      <c r="U31" s="188"/>
      <c r="V31" s="188"/>
      <c r="W31" s="188"/>
      <c r="X31" s="188"/>
      <c r="Y31" s="188"/>
      <c r="Z31" s="188"/>
      <c r="AA31" s="188"/>
      <c r="AB31" s="188"/>
      <c r="AC31" s="188"/>
      <c r="AD31" s="188"/>
      <c r="AE31" s="188"/>
      <c r="AF31" s="188"/>
      <c r="AG31" s="188"/>
      <c r="AH31" s="188"/>
      <c r="AI31" s="188"/>
      <c r="AJ31" s="188"/>
      <c r="AK31" s="188"/>
      <c r="AL31" s="188"/>
      <c r="AM31" s="188"/>
      <c r="AN31" s="188"/>
      <c r="AO31" s="188"/>
      <c r="AP31" s="188"/>
      <c r="AQ31" s="188"/>
      <c r="AR31" s="188"/>
      <c r="AS31" s="188"/>
    </row>
    <row r="32" spans="1:48" ht="12.5" customHeight="1" thickTop="1" x14ac:dyDescent="0.35">
      <c r="G32" s="188"/>
      <c r="H32" s="188"/>
      <c r="I32" s="188"/>
      <c r="J32" s="188"/>
      <c r="K32" s="188"/>
      <c r="L32" s="188"/>
      <c r="M32" s="188"/>
      <c r="N32" s="188"/>
      <c r="O32" s="188"/>
      <c r="P32" s="188"/>
      <c r="Q32" s="188"/>
      <c r="R32" s="188"/>
      <c r="S32" s="188"/>
      <c r="T32" s="188"/>
      <c r="U32" s="188"/>
      <c r="V32" s="188"/>
      <c r="W32" s="188"/>
      <c r="X32" s="188"/>
      <c r="Y32" s="188"/>
      <c r="Z32" s="188"/>
      <c r="AA32" s="188"/>
      <c r="AB32" s="188"/>
      <c r="AC32" s="188"/>
      <c r="AD32" s="188"/>
      <c r="AE32" s="188"/>
      <c r="AF32" s="188"/>
      <c r="AG32" s="188"/>
      <c r="AH32" s="256" t="s">
        <v>91</v>
      </c>
      <c r="AI32" s="256"/>
      <c r="AJ32" s="256"/>
      <c r="AK32" s="256"/>
      <c r="AL32" s="260">
        <f>SUM($D$12:D31)</f>
        <v>11</v>
      </c>
      <c r="AM32" s="260"/>
      <c r="AN32" s="260"/>
      <c r="AO32" s="260"/>
      <c r="AP32" s="260"/>
      <c r="AQ32" s="260"/>
      <c r="AR32" s="260"/>
      <c r="AS32" s="260"/>
    </row>
    <row r="33" spans="7:47" ht="12.5" customHeight="1" x14ac:dyDescent="0.35"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188"/>
      <c r="U33" s="188"/>
      <c r="V33" s="188"/>
      <c r="W33" s="188"/>
      <c r="X33" s="188"/>
      <c r="Y33" s="188"/>
      <c r="Z33" s="188"/>
      <c r="AA33" s="188"/>
      <c r="AB33" s="188"/>
      <c r="AC33" s="188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Q33" s="188"/>
      <c r="AR33" s="188"/>
      <c r="AS33" s="188"/>
    </row>
    <row r="34" spans="7:47" ht="12.5" customHeight="1" x14ac:dyDescent="0.45">
      <c r="G34" s="178"/>
      <c r="H34" s="187"/>
      <c r="I34" s="187"/>
      <c r="J34" s="187"/>
      <c r="K34" s="187"/>
      <c r="L34" s="187"/>
      <c r="M34" s="187"/>
      <c r="N34" s="187"/>
      <c r="O34" s="187"/>
      <c r="P34" s="187"/>
      <c r="Q34" s="187"/>
      <c r="R34" s="187"/>
      <c r="S34" s="187"/>
      <c r="T34" s="178"/>
      <c r="U34" s="178"/>
      <c r="V34" s="178"/>
      <c r="W34" s="178"/>
      <c r="X34" s="178"/>
      <c r="Y34" s="178"/>
      <c r="Z34" s="178"/>
      <c r="AA34" s="178"/>
      <c r="AB34" s="178"/>
      <c r="AC34" s="178"/>
      <c r="AD34" s="178"/>
      <c r="AE34" s="178"/>
      <c r="AF34" s="178"/>
      <c r="AG34" s="178"/>
      <c r="AH34" s="256" t="s">
        <v>1388</v>
      </c>
      <c r="AI34" s="256"/>
      <c r="AJ34" s="256"/>
      <c r="AK34" s="256"/>
      <c r="AL34" s="261"/>
      <c r="AM34" s="261"/>
      <c r="AN34" s="261"/>
      <c r="AO34" s="261"/>
      <c r="AP34" s="261"/>
      <c r="AQ34" s="261"/>
      <c r="AR34" s="261"/>
      <c r="AS34" s="261"/>
      <c r="AT34" s="164"/>
      <c r="AU34" s="164"/>
    </row>
    <row r="35" spans="7:47" ht="12.5" customHeight="1" x14ac:dyDescent="0.45">
      <c r="G35" s="178"/>
      <c r="H35" s="178"/>
      <c r="I35" s="178"/>
      <c r="J35" s="178"/>
      <c r="K35" s="178"/>
      <c r="L35" s="178"/>
      <c r="M35" s="178"/>
      <c r="N35" s="178"/>
      <c r="O35" s="178"/>
      <c r="P35" s="178"/>
      <c r="Q35" s="178"/>
      <c r="R35" s="178"/>
      <c r="S35" s="178"/>
      <c r="T35" s="178"/>
      <c r="U35" s="178"/>
      <c r="V35" s="178"/>
      <c r="W35" s="178"/>
      <c r="X35" s="178"/>
      <c r="Y35" s="178"/>
      <c r="Z35" s="178"/>
      <c r="AA35" s="178"/>
      <c r="AB35" s="178"/>
      <c r="AC35" s="178"/>
      <c r="AD35" s="178"/>
      <c r="AE35" s="178"/>
      <c r="AF35" s="178"/>
      <c r="AG35" s="178"/>
      <c r="AH35" s="187"/>
      <c r="AI35" s="187"/>
      <c r="AJ35" s="187"/>
      <c r="AK35" s="187"/>
      <c r="AL35" s="187"/>
      <c r="AM35" s="187"/>
      <c r="AN35" s="187"/>
      <c r="AO35" s="187"/>
      <c r="AP35" s="187"/>
      <c r="AQ35" s="187"/>
      <c r="AR35" s="187"/>
      <c r="AS35" s="187"/>
      <c r="AT35" s="164"/>
      <c r="AU35" s="164"/>
    </row>
    <row r="36" spans="7:47" ht="12.5" customHeight="1" x14ac:dyDescent="0.45">
      <c r="G36" s="178"/>
      <c r="H36" s="178"/>
      <c r="I36" s="178"/>
      <c r="J36" s="178"/>
      <c r="K36" s="178"/>
      <c r="L36" s="178"/>
      <c r="M36" s="178"/>
      <c r="N36" s="178"/>
      <c r="O36" s="178"/>
      <c r="P36" s="178"/>
      <c r="Q36" s="178"/>
      <c r="R36" s="178"/>
      <c r="S36" s="178"/>
      <c r="T36" s="178"/>
      <c r="U36" s="178"/>
      <c r="V36" s="178"/>
      <c r="W36" s="178"/>
      <c r="X36" s="178"/>
      <c r="Y36" s="178"/>
      <c r="Z36" s="178"/>
      <c r="AA36" s="178"/>
      <c r="AB36" s="178"/>
      <c r="AC36" s="178"/>
      <c r="AD36" s="178"/>
      <c r="AE36" s="178"/>
      <c r="AF36" s="178"/>
      <c r="AG36" s="178"/>
      <c r="AH36" s="178"/>
      <c r="AI36" s="178"/>
      <c r="AJ36" s="178"/>
      <c r="AK36" s="178"/>
      <c r="AL36" s="178"/>
      <c r="AM36" s="178"/>
      <c r="AN36" s="178"/>
      <c r="AO36" s="178"/>
      <c r="AP36" s="178"/>
      <c r="AQ36" s="178"/>
      <c r="AR36" s="178"/>
      <c r="AS36" s="178"/>
      <c r="AT36" s="164"/>
      <c r="AU36" s="164"/>
    </row>
    <row r="37" spans="7:47" ht="12.5" customHeight="1" x14ac:dyDescent="0.35">
      <c r="G37" s="171"/>
      <c r="H37" s="171"/>
      <c r="I37" s="171"/>
      <c r="J37" s="171"/>
      <c r="K37" s="171"/>
      <c r="L37" s="171"/>
      <c r="M37" s="171"/>
      <c r="N37" s="171"/>
      <c r="O37" s="171"/>
      <c r="P37" s="171"/>
      <c r="Q37" s="171"/>
      <c r="R37" s="171"/>
      <c r="S37" s="171"/>
      <c r="T37" s="171"/>
      <c r="U37" s="171"/>
      <c r="V37" s="171"/>
      <c r="W37" s="171"/>
      <c r="X37" s="171"/>
      <c r="Y37" s="171"/>
      <c r="Z37" s="171"/>
      <c r="AA37" s="171"/>
      <c r="AB37" s="171"/>
      <c r="AC37" s="171"/>
      <c r="AD37" s="171"/>
      <c r="AE37" s="171"/>
      <c r="AF37" s="171"/>
      <c r="AG37" s="171"/>
      <c r="AH37" s="171"/>
      <c r="AI37" s="171"/>
      <c r="AJ37" s="171"/>
      <c r="AK37" s="171"/>
      <c r="AL37" s="171"/>
      <c r="AM37" s="171"/>
      <c r="AN37" s="171"/>
      <c r="AO37" s="171"/>
      <c r="AP37" s="171"/>
      <c r="AQ37" s="171"/>
      <c r="AR37" s="171"/>
      <c r="AS37" s="171"/>
      <c r="AT37" s="164"/>
      <c r="AU37" s="164"/>
    </row>
    <row r="38" spans="7:47" ht="12.5" customHeight="1" x14ac:dyDescent="0.35">
      <c r="G38" s="171"/>
      <c r="H38" s="226" t="s">
        <v>1389</v>
      </c>
      <c r="I38" s="226"/>
      <c r="J38" s="226"/>
      <c r="K38" s="226"/>
      <c r="L38" s="259"/>
      <c r="M38" s="259"/>
      <c r="N38" s="259"/>
      <c r="O38" s="259"/>
      <c r="P38" s="259"/>
      <c r="Q38" s="259"/>
      <c r="R38" s="259"/>
      <c r="S38" s="259"/>
      <c r="T38" s="171"/>
      <c r="U38" s="171"/>
      <c r="V38" s="171"/>
      <c r="W38" s="171"/>
      <c r="X38" s="171"/>
      <c r="Y38" s="171"/>
      <c r="Z38" s="171"/>
      <c r="AA38" s="171"/>
      <c r="AB38" s="171"/>
      <c r="AC38" s="171"/>
      <c r="AD38" s="171"/>
      <c r="AE38" s="171"/>
      <c r="AF38" s="171"/>
      <c r="AG38" s="171"/>
      <c r="AH38" s="226" t="s">
        <v>1390</v>
      </c>
      <c r="AI38" s="226"/>
      <c r="AJ38" s="226"/>
      <c r="AK38" s="226"/>
      <c r="AL38" s="259"/>
      <c r="AM38" s="259"/>
      <c r="AN38" s="259"/>
      <c r="AO38" s="259"/>
      <c r="AP38" s="259"/>
      <c r="AQ38" s="259"/>
      <c r="AR38" s="259"/>
      <c r="AS38" s="259"/>
    </row>
  </sheetData>
  <mergeCells count="82">
    <mergeCell ref="H20:Q20"/>
    <mergeCell ref="H13:Q13"/>
    <mergeCell ref="R16:AC16"/>
    <mergeCell ref="G19:I19"/>
    <mergeCell ref="J19:Q19"/>
    <mergeCell ref="R23:AC23"/>
    <mergeCell ref="Y22:AC22"/>
    <mergeCell ref="AD22:AJ22"/>
    <mergeCell ref="AK22:AO22"/>
    <mergeCell ref="AP22:AS22"/>
    <mergeCell ref="AD23:AJ23"/>
    <mergeCell ref="AK23:AO23"/>
    <mergeCell ref="H38:K38"/>
    <mergeCell ref="L38:S38"/>
    <mergeCell ref="AH34:AK34"/>
    <mergeCell ref="AL34:AS34"/>
    <mergeCell ref="AK27:AO27"/>
    <mergeCell ref="AP28:AS28"/>
    <mergeCell ref="I28:N28"/>
    <mergeCell ref="O28:Q28"/>
    <mergeCell ref="R28:X28"/>
    <mergeCell ref="AK28:AO28"/>
    <mergeCell ref="Y28:AC28"/>
    <mergeCell ref="AD28:AJ28"/>
    <mergeCell ref="I27:N27"/>
    <mergeCell ref="O27:Q27"/>
    <mergeCell ref="R27:X27"/>
    <mergeCell ref="Y27:AC27"/>
    <mergeCell ref="AD27:AJ27"/>
    <mergeCell ref="AH38:AK38"/>
    <mergeCell ref="AL38:AS38"/>
    <mergeCell ref="AL32:AS32"/>
    <mergeCell ref="AH32:AK32"/>
    <mergeCell ref="AP27:AS27"/>
    <mergeCell ref="G26:I26"/>
    <mergeCell ref="AL7:AS7"/>
    <mergeCell ref="AL8:AS8"/>
    <mergeCell ref="AL9:AS9"/>
    <mergeCell ref="J12:Q12"/>
    <mergeCell ref="G12:I12"/>
    <mergeCell ref="I21:N21"/>
    <mergeCell ref="O21:Q21"/>
    <mergeCell ref="R21:X21"/>
    <mergeCell ref="Y21:AC21"/>
    <mergeCell ref="AD21:AJ21"/>
    <mergeCell ref="AK21:AO21"/>
    <mergeCell ref="AP21:AS21"/>
    <mergeCell ref="I22:N22"/>
    <mergeCell ref="O22:Q22"/>
    <mergeCell ref="R22:X22"/>
    <mergeCell ref="G6:AS6"/>
    <mergeCell ref="H7:K7"/>
    <mergeCell ref="H8:K8"/>
    <mergeCell ref="H9:K9"/>
    <mergeCell ref="U7:X7"/>
    <mergeCell ref="U8:X8"/>
    <mergeCell ref="U9:X9"/>
    <mergeCell ref="AH7:AK7"/>
    <mergeCell ref="AH8:AK8"/>
    <mergeCell ref="AH9:AK9"/>
    <mergeCell ref="L7:S7"/>
    <mergeCell ref="L8:S8"/>
    <mergeCell ref="L9:S9"/>
    <mergeCell ref="Y7:AF7"/>
    <mergeCell ref="Y8:AF8"/>
    <mergeCell ref="Y9:AF9"/>
    <mergeCell ref="AP14:AS14"/>
    <mergeCell ref="Y15:AC15"/>
    <mergeCell ref="AD15:AJ15"/>
    <mergeCell ref="AK15:AO15"/>
    <mergeCell ref="AD16:AJ16"/>
    <mergeCell ref="AK16:AO16"/>
    <mergeCell ref="I14:N14"/>
    <mergeCell ref="O14:Q14"/>
    <mergeCell ref="R14:X14"/>
    <mergeCell ref="Y14:AC14"/>
    <mergeCell ref="AD14:AJ14"/>
    <mergeCell ref="AK14:AO14"/>
    <mergeCell ref="I15:N15"/>
    <mergeCell ref="O15:Q15"/>
    <mergeCell ref="R15:X15"/>
    <mergeCell ref="AP15:AS15"/>
  </mergeCells>
  <dataValidations disablePrompts="1" count="4">
    <dataValidation allowBlank="1" showInputMessage="1" showErrorMessage="1" promptTitle="DON'T TYPE OVER THIS" prompt="This cell contains a formula!" sqref="W12 AL1:AS9 A762:Q W19"/>
    <dataValidation allowBlank="1" showInputMessage="1" showErrorMessage="1" promptTitle="DON'T TYPE OVER THIS" prompt="This cell contains a formula" sqref="AK12 AK19"/>
    <dataValidation allowBlank="1" showErrorMessage="1" promptTitle="DON'T TYPE OVER THIS" prompt="This cell contains a formula!" sqref="AP16:AS17 G16:Q17 R17:Y17 R16 AP23:AS24 G23:Q24 R24:Y24 R23"/>
    <dataValidation allowBlank="1" sqref="G15:H15 G22:H22"/>
  </dataValidations>
  <printOptions horizontalCentered="1"/>
  <pageMargins left="0.23622047244094499" right="0.23622047244094499" top="0.24803149599999999" bottom="0.74803149606299202" header="0" footer="0.31496062992126"/>
  <pageSetup paperSize="9" scale="96" fitToHeight="0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5" name="Drop Down 1">
              <controlPr defaultSize="0" print="0" autoLine="0" autoPict="0">
                <anchor moveWithCells="1">
                  <from>
                    <xdr:col>24</xdr:col>
                    <xdr:colOff>0</xdr:colOff>
                    <xdr:row>6</xdr:row>
                    <xdr:rowOff>0</xdr:rowOff>
                  </from>
                  <to>
                    <xdr:col>32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6" name="Drop Down 2">
              <controlPr defaultSize="0" print="0" autoLine="0" autoPict="0">
                <anchor moveWithCells="1">
                  <from>
                    <xdr:col>37</xdr:col>
                    <xdr:colOff>0</xdr:colOff>
                    <xdr:row>6</xdr:row>
                    <xdr:rowOff>0</xdr:rowOff>
                  </from>
                  <to>
                    <xdr:col>45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7" name="Drop Down 3">
              <controlPr defaultSize="0" print="0" autoLine="0" autoPict="0">
                <anchor moveWithCells="1">
                  <from>
                    <xdr:col>37</xdr:col>
                    <xdr:colOff>0</xdr:colOff>
                    <xdr:row>7</xdr:row>
                    <xdr:rowOff>0</xdr:rowOff>
                  </from>
                  <to>
                    <xdr:col>45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8" name="Drop Down 4">
              <controlPr defaultSize="0" print="0" autoLine="0" autoPict="0">
                <anchor moveWithCells="1">
                  <from>
                    <xdr:col>37</xdr:col>
                    <xdr:colOff>0</xdr:colOff>
                    <xdr:row>8</xdr:row>
                    <xdr:rowOff>0</xdr:rowOff>
                  </from>
                  <to>
                    <xdr:col>45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8">
        <x14:dataValidation type="list" allowBlank="1" showInputMessage="1" showErrorMessage="1">
          <x14:formula1>
            <xm:f>Countries!$C$2:$C$59</xm:f>
          </x14:formula1>
          <xm:sqref>J12:Q12 J19:Q19</xm:sqref>
        </x14:dataValidation>
        <x14:dataValidation type="list" allowBlank="1" showInputMessage="1" showErrorMessage="1">
          <x14:formula1>
            <xm:f>'South African Currencies'!$A$2:$A$55</xm:f>
          </x14:formula1>
          <xm:sqref>Y28:AC28 AK28:AO28 Y15:AC15 AK15:AO15 Y22:AC22 AK22:AO22</xm:sqref>
        </x14:dataValidation>
        <x14:dataValidation type="list" allowBlank="1" showInputMessage="1" showErrorMessage="1">
          <x14:formula1>
            <xm:f>[1]Sheet2!#REF!</xm:f>
          </x14:formula1>
          <xm:sqref>AK16:AO17</xm:sqref>
        </x14:dataValidation>
        <x14:dataValidation type="list" allowBlank="1" showInputMessage="1" showErrorMessage="1">
          <x14:formula1>
            <xm:f>Data!$B$2:$B$4</xm:f>
          </x14:formula1>
          <xm:sqref>H13:Q13</xm:sqref>
        </x14:dataValidation>
        <x14:dataValidation type="list" allowBlank="1" showInputMessage="1" showErrorMessage="1">
          <x14:formula1>
            <xm:f>Data!$D$2:$D$7</xm:f>
          </x14:formula1>
          <xm:sqref>AP15:AS15 AP22:AS22</xm:sqref>
        </x14:dataValidation>
        <x14:dataValidation type="list" allowBlank="1" showInputMessage="1">
          <x14:formula1>
            <xm:f>Inventory!$C$7:$C$37</xm:f>
          </x14:formula1>
          <xm:sqref>I15:N15 I22:N22</xm:sqref>
        </x14:dataValidation>
        <x14:dataValidation type="list" allowBlank="1" showInputMessage="1" showErrorMessage="1">
          <x14:formula1>
            <xm:f>Data!$B$2:$B$7</xm:f>
          </x14:formula1>
          <xm:sqref>H20:Q20</xm:sqref>
        </x14:dataValidation>
        <x14:dataValidation type="list" allowBlank="1" showInputMessage="1" showErrorMessage="1">
          <x14:formula1>
            <xm:f>[1]Sheet2!#REF!</xm:f>
          </x14:formula1>
          <xm:sqref>AK23:AO24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55"/>
  <sheetViews>
    <sheetView topLeftCell="A16" workbookViewId="0">
      <selection sqref="A1:C55"/>
    </sheetView>
  </sheetViews>
  <sheetFormatPr defaultRowHeight="14.5" x14ac:dyDescent="0.35"/>
  <sheetData>
    <row r="1" spans="1:3" ht="15" thickBot="1" x14ac:dyDescent="0.4">
      <c r="A1" s="192" t="s">
        <v>1396</v>
      </c>
      <c r="B1" s="192" t="s">
        <v>1397</v>
      </c>
      <c r="C1" s="192" t="s">
        <v>1398</v>
      </c>
    </row>
    <row r="2" spans="1:3" ht="15" thickBot="1" x14ac:dyDescent="0.4">
      <c r="A2" s="193" t="s">
        <v>388</v>
      </c>
      <c r="B2" s="194" t="s">
        <v>1399</v>
      </c>
      <c r="C2" s="194" t="s">
        <v>1400</v>
      </c>
    </row>
    <row r="3" spans="1:3" ht="15" thickBot="1" x14ac:dyDescent="0.4">
      <c r="A3" s="193" t="s">
        <v>399</v>
      </c>
      <c r="B3" s="194" t="s">
        <v>1401</v>
      </c>
      <c r="C3" s="194" t="s">
        <v>1402</v>
      </c>
    </row>
    <row r="4" spans="1:3" ht="15" thickBot="1" x14ac:dyDescent="0.4">
      <c r="A4" s="193" t="s">
        <v>54</v>
      </c>
      <c r="B4" s="194" t="s">
        <v>1403</v>
      </c>
      <c r="C4" s="194" t="s">
        <v>1404</v>
      </c>
    </row>
    <row r="5" spans="1:3" ht="15" thickBot="1" x14ac:dyDescent="0.4">
      <c r="A5" s="193" t="s">
        <v>408</v>
      </c>
      <c r="B5" s="194" t="s">
        <v>1405</v>
      </c>
      <c r="C5" s="194" t="s">
        <v>1131</v>
      </c>
    </row>
    <row r="6" spans="1:3" ht="15" thickBot="1" x14ac:dyDescent="0.4">
      <c r="A6" s="193" t="s">
        <v>417</v>
      </c>
      <c r="B6" s="194" t="s">
        <v>1406</v>
      </c>
      <c r="C6" s="194" t="s">
        <v>1407</v>
      </c>
    </row>
    <row r="7" spans="1:3" ht="15" thickBot="1" x14ac:dyDescent="0.4">
      <c r="A7" s="193" t="s">
        <v>420</v>
      </c>
      <c r="B7" s="194" t="s">
        <v>1408</v>
      </c>
      <c r="C7" s="194" t="s">
        <v>1122</v>
      </c>
    </row>
    <row r="8" spans="1:3" ht="15" thickBot="1" x14ac:dyDescent="0.4">
      <c r="A8" s="193" t="s">
        <v>423</v>
      </c>
      <c r="B8" s="194" t="s">
        <v>1409</v>
      </c>
      <c r="C8" s="194" t="s">
        <v>1410</v>
      </c>
    </row>
    <row r="9" spans="1:3" ht="15" thickBot="1" x14ac:dyDescent="0.4">
      <c r="A9" s="193" t="s">
        <v>424</v>
      </c>
      <c r="B9" s="194" t="s">
        <v>1411</v>
      </c>
      <c r="C9" s="194" t="s">
        <v>1412</v>
      </c>
    </row>
    <row r="10" spans="1:3" ht="15" thickBot="1" x14ac:dyDescent="0.4">
      <c r="A10" s="193" t="s">
        <v>426</v>
      </c>
      <c r="B10" s="194" t="s">
        <v>1413</v>
      </c>
      <c r="C10" s="194" t="s">
        <v>1414</v>
      </c>
    </row>
    <row r="11" spans="1:3" ht="15" thickBot="1" x14ac:dyDescent="0.4">
      <c r="A11" s="193" t="s">
        <v>427</v>
      </c>
      <c r="B11" s="194" t="s">
        <v>1415</v>
      </c>
      <c r="C11" s="194" t="s">
        <v>1199</v>
      </c>
    </row>
    <row r="12" spans="1:3" ht="15" thickBot="1" x14ac:dyDescent="0.4">
      <c r="A12" s="193" t="s">
        <v>431</v>
      </c>
      <c r="B12" s="194" t="s">
        <v>1416</v>
      </c>
      <c r="C12" s="194" t="s">
        <v>1417</v>
      </c>
    </row>
    <row r="13" spans="1:3" ht="15" thickBot="1" x14ac:dyDescent="0.4">
      <c r="A13" s="193" t="s">
        <v>433</v>
      </c>
      <c r="B13" s="194" t="s">
        <v>1418</v>
      </c>
      <c r="C13" s="194" t="s">
        <v>1419</v>
      </c>
    </row>
    <row r="14" spans="1:3" ht="15" thickBot="1" x14ac:dyDescent="0.4">
      <c r="A14" s="193" t="s">
        <v>434</v>
      </c>
      <c r="B14" s="194" t="s">
        <v>1420</v>
      </c>
      <c r="C14" s="194" t="s">
        <v>1077</v>
      </c>
    </row>
    <row r="15" spans="1:3" ht="15" thickBot="1" x14ac:dyDescent="0.4">
      <c r="A15" s="193" t="s">
        <v>451</v>
      </c>
      <c r="B15" s="194" t="s">
        <v>1421</v>
      </c>
      <c r="C15" s="194" t="s">
        <v>1175</v>
      </c>
    </row>
    <row r="16" spans="1:3" ht="15" thickBot="1" x14ac:dyDescent="0.4">
      <c r="A16" s="193" t="s">
        <v>454</v>
      </c>
      <c r="B16" s="194" t="s">
        <v>1422</v>
      </c>
      <c r="C16" s="194" t="s">
        <v>1423</v>
      </c>
    </row>
    <row r="17" spans="1:3" ht="15" thickBot="1" x14ac:dyDescent="0.4">
      <c r="A17" s="193" t="s">
        <v>461</v>
      </c>
      <c r="B17" s="194" t="s">
        <v>1424</v>
      </c>
      <c r="C17" s="194" t="s">
        <v>1094</v>
      </c>
    </row>
    <row r="18" spans="1:3" ht="15" thickBot="1" x14ac:dyDescent="0.4">
      <c r="A18" s="193" t="s">
        <v>462</v>
      </c>
      <c r="B18" s="194" t="s">
        <v>1425</v>
      </c>
      <c r="C18" s="194" t="s">
        <v>1426</v>
      </c>
    </row>
    <row r="19" spans="1:3" ht="15" thickBot="1" x14ac:dyDescent="0.4">
      <c r="A19" s="193" t="s">
        <v>463</v>
      </c>
      <c r="B19" s="194" t="s">
        <v>1427</v>
      </c>
      <c r="C19" s="194" t="s">
        <v>1428</v>
      </c>
    </row>
    <row r="20" spans="1:3" ht="15" thickBot="1" x14ac:dyDescent="0.4">
      <c r="A20" s="193" t="s">
        <v>425</v>
      </c>
      <c r="B20" s="194" t="s">
        <v>1429</v>
      </c>
      <c r="C20" s="194" t="s">
        <v>1430</v>
      </c>
    </row>
    <row r="21" spans="1:3" ht="15" thickBot="1" x14ac:dyDescent="0.4">
      <c r="A21" s="193" t="s">
        <v>465</v>
      </c>
      <c r="B21" s="194" t="s">
        <v>1431</v>
      </c>
      <c r="C21" s="194" t="s">
        <v>1146</v>
      </c>
    </row>
    <row r="22" spans="1:3" ht="15" thickBot="1" x14ac:dyDescent="0.4">
      <c r="A22" s="193" t="s">
        <v>469</v>
      </c>
      <c r="B22" s="194" t="s">
        <v>1432</v>
      </c>
      <c r="C22" s="194" t="s">
        <v>1433</v>
      </c>
    </row>
    <row r="23" spans="1:3" ht="15" thickBot="1" x14ac:dyDescent="0.4">
      <c r="A23" s="193" t="s">
        <v>470</v>
      </c>
      <c r="B23" s="194" t="s">
        <v>1434</v>
      </c>
      <c r="C23" s="194" t="s">
        <v>1435</v>
      </c>
    </row>
    <row r="24" spans="1:3" ht="15" thickBot="1" x14ac:dyDescent="0.4">
      <c r="A24" s="193" t="s">
        <v>472</v>
      </c>
      <c r="B24" s="194" t="s">
        <v>1436</v>
      </c>
      <c r="C24" s="194" t="s">
        <v>1113</v>
      </c>
    </row>
    <row r="25" spans="1:3" ht="15" thickBot="1" x14ac:dyDescent="0.4">
      <c r="A25" s="193" t="s">
        <v>475</v>
      </c>
      <c r="B25" s="194" t="s">
        <v>1437</v>
      </c>
      <c r="C25" s="194" t="s">
        <v>1096</v>
      </c>
    </row>
    <row r="26" spans="1:3" ht="15" thickBot="1" x14ac:dyDescent="0.4">
      <c r="A26" s="193" t="s">
        <v>476</v>
      </c>
      <c r="B26" s="194" t="s">
        <v>1438</v>
      </c>
      <c r="C26" s="194" t="s">
        <v>1191</v>
      </c>
    </row>
    <row r="27" spans="1:3" ht="15" thickBot="1" x14ac:dyDescent="0.4">
      <c r="A27" s="193" t="s">
        <v>478</v>
      </c>
      <c r="B27" s="194" t="s">
        <v>1439</v>
      </c>
      <c r="C27" s="194" t="s">
        <v>1440</v>
      </c>
    </row>
    <row r="28" spans="1:3" ht="15" thickBot="1" x14ac:dyDescent="0.4">
      <c r="A28" s="193" t="s">
        <v>493</v>
      </c>
      <c r="B28" s="194" t="s">
        <v>1441</v>
      </c>
      <c r="C28" s="194" t="s">
        <v>1086</v>
      </c>
    </row>
    <row r="29" spans="1:3" ht="15" thickBot="1" x14ac:dyDescent="0.4">
      <c r="A29" s="193" t="s">
        <v>496</v>
      </c>
      <c r="B29" s="194" t="s">
        <v>1442</v>
      </c>
      <c r="C29" s="194" t="s">
        <v>1443</v>
      </c>
    </row>
    <row r="30" spans="1:3" ht="15" thickBot="1" x14ac:dyDescent="0.4">
      <c r="A30" s="193" t="s">
        <v>497</v>
      </c>
      <c r="B30" s="194" t="s">
        <v>1444</v>
      </c>
      <c r="C30" s="194" t="s">
        <v>1095</v>
      </c>
    </row>
    <row r="31" spans="1:3" ht="15" thickBot="1" x14ac:dyDescent="0.4">
      <c r="A31" s="193" t="s">
        <v>501</v>
      </c>
      <c r="B31" s="194" t="s">
        <v>1445</v>
      </c>
      <c r="C31" s="194" t="s">
        <v>1087</v>
      </c>
    </row>
    <row r="32" spans="1:3" ht="15" thickBot="1" x14ac:dyDescent="0.4">
      <c r="A32" s="193" t="s">
        <v>502</v>
      </c>
      <c r="B32" s="194" t="s">
        <v>1446</v>
      </c>
      <c r="C32" s="194" t="s">
        <v>1133</v>
      </c>
    </row>
    <row r="33" spans="1:3" ht="15" thickBot="1" x14ac:dyDescent="0.4">
      <c r="A33" s="193" t="s">
        <v>504</v>
      </c>
      <c r="B33" s="194" t="s">
        <v>1447</v>
      </c>
      <c r="C33" s="194" t="s">
        <v>1140</v>
      </c>
    </row>
    <row r="34" spans="1:3" ht="15" thickBot="1" x14ac:dyDescent="0.4">
      <c r="A34" s="193" t="s">
        <v>505</v>
      </c>
      <c r="B34" s="194" t="s">
        <v>1448</v>
      </c>
      <c r="C34" s="194" t="s">
        <v>1449</v>
      </c>
    </row>
    <row r="35" spans="1:3" ht="15" thickBot="1" x14ac:dyDescent="0.4">
      <c r="A35" s="193" t="s">
        <v>507</v>
      </c>
      <c r="B35" s="194" t="s">
        <v>1450</v>
      </c>
      <c r="C35" s="194" t="s">
        <v>1451</v>
      </c>
    </row>
    <row r="36" spans="1:3" ht="15" thickBot="1" x14ac:dyDescent="0.4">
      <c r="A36" s="193" t="s">
        <v>511</v>
      </c>
      <c r="B36" s="194" t="s">
        <v>1452</v>
      </c>
      <c r="C36" s="194" t="s">
        <v>1453</v>
      </c>
    </row>
    <row r="37" spans="1:3" ht="15" thickBot="1" x14ac:dyDescent="0.4">
      <c r="A37" s="193" t="s">
        <v>516</v>
      </c>
      <c r="B37" s="194" t="s">
        <v>1454</v>
      </c>
      <c r="C37" s="194" t="s">
        <v>1088</v>
      </c>
    </row>
    <row r="38" spans="1:3" ht="15" thickBot="1" x14ac:dyDescent="0.4">
      <c r="A38" s="193" t="s">
        <v>518</v>
      </c>
      <c r="B38" s="194" t="s">
        <v>1455</v>
      </c>
      <c r="C38" s="194" t="s">
        <v>1184</v>
      </c>
    </row>
    <row r="39" spans="1:3" ht="15" thickBot="1" x14ac:dyDescent="0.4">
      <c r="A39" s="193" t="s">
        <v>409</v>
      </c>
      <c r="B39" s="194" t="s">
        <v>1456</v>
      </c>
      <c r="C39" s="194" t="s">
        <v>1457</v>
      </c>
    </row>
    <row r="40" spans="1:3" ht="15" thickBot="1" x14ac:dyDescent="0.4">
      <c r="A40" s="193" t="s">
        <v>409</v>
      </c>
      <c r="B40" s="194" t="s">
        <v>1458</v>
      </c>
      <c r="C40" s="194" t="s">
        <v>1457</v>
      </c>
    </row>
    <row r="41" spans="1:3" ht="15" thickBot="1" x14ac:dyDescent="0.4">
      <c r="A41" s="193" t="s">
        <v>409</v>
      </c>
      <c r="B41" s="194" t="s">
        <v>1459</v>
      </c>
      <c r="C41" s="194" t="s">
        <v>1457</v>
      </c>
    </row>
    <row r="42" spans="1:3" ht="15" thickBot="1" x14ac:dyDescent="0.4">
      <c r="A42" s="193" t="s">
        <v>409</v>
      </c>
      <c r="B42" s="194" t="s">
        <v>1460</v>
      </c>
      <c r="C42" s="194" t="s">
        <v>1457</v>
      </c>
    </row>
    <row r="43" spans="1:3" ht="15" thickBot="1" x14ac:dyDescent="0.4">
      <c r="A43" s="193" t="s">
        <v>409</v>
      </c>
      <c r="B43" s="194" t="s">
        <v>1461</v>
      </c>
      <c r="C43" s="194" t="s">
        <v>1457</v>
      </c>
    </row>
    <row r="44" spans="1:3" ht="15" thickBot="1" x14ac:dyDescent="0.4">
      <c r="A44" s="193" t="s">
        <v>409</v>
      </c>
      <c r="B44" s="194" t="s">
        <v>1462</v>
      </c>
      <c r="C44" s="194" t="s">
        <v>1457</v>
      </c>
    </row>
    <row r="45" spans="1:3" ht="15" thickBot="1" x14ac:dyDescent="0.4">
      <c r="A45" s="193" t="s">
        <v>396</v>
      </c>
      <c r="B45" s="194" t="s">
        <v>1463</v>
      </c>
      <c r="C45" s="194" t="s">
        <v>1457</v>
      </c>
    </row>
    <row r="46" spans="1:3" ht="15" thickBot="1" x14ac:dyDescent="0.4">
      <c r="A46" s="193" t="s">
        <v>396</v>
      </c>
      <c r="B46" s="194" t="s">
        <v>1464</v>
      </c>
      <c r="C46" s="194" t="s">
        <v>1457</v>
      </c>
    </row>
    <row r="47" spans="1:3" ht="15" thickBot="1" x14ac:dyDescent="0.4">
      <c r="A47" s="193" t="s">
        <v>396</v>
      </c>
      <c r="B47" s="194" t="s">
        <v>1465</v>
      </c>
      <c r="C47" s="194" t="s">
        <v>1457</v>
      </c>
    </row>
    <row r="48" spans="1:3" ht="15" thickBot="1" x14ac:dyDescent="0.4">
      <c r="A48" s="193" t="s">
        <v>396</v>
      </c>
      <c r="B48" s="194" t="s">
        <v>1466</v>
      </c>
      <c r="C48" s="194" t="s">
        <v>1457</v>
      </c>
    </row>
    <row r="49" spans="1:3" ht="15" thickBot="1" x14ac:dyDescent="0.4">
      <c r="A49" s="193" t="s">
        <v>396</v>
      </c>
      <c r="B49" s="194" t="s">
        <v>1467</v>
      </c>
      <c r="C49" s="194" t="s">
        <v>1457</v>
      </c>
    </row>
    <row r="50" spans="1:3" ht="15" thickBot="1" x14ac:dyDescent="0.4">
      <c r="A50" s="193" t="s">
        <v>396</v>
      </c>
      <c r="B50" s="194" t="s">
        <v>1468</v>
      </c>
      <c r="C50" s="194" t="s">
        <v>1457</v>
      </c>
    </row>
    <row r="51" spans="1:3" ht="15" thickBot="1" x14ac:dyDescent="0.4">
      <c r="A51" s="193" t="s">
        <v>396</v>
      </c>
      <c r="B51" s="194" t="s">
        <v>1469</v>
      </c>
      <c r="C51" s="194" t="s">
        <v>1457</v>
      </c>
    </row>
    <row r="52" spans="1:3" ht="15" thickBot="1" x14ac:dyDescent="0.4">
      <c r="A52" s="193" t="s">
        <v>396</v>
      </c>
      <c r="B52" s="194" t="s">
        <v>1470</v>
      </c>
      <c r="C52" s="194" t="s">
        <v>1457</v>
      </c>
    </row>
    <row r="53" spans="1:3" ht="15" thickBot="1" x14ac:dyDescent="0.4">
      <c r="A53" s="193" t="s">
        <v>526</v>
      </c>
      <c r="B53" s="194" t="s">
        <v>1471</v>
      </c>
      <c r="C53" s="194" t="s">
        <v>1061</v>
      </c>
    </row>
    <row r="54" spans="1:3" ht="15" thickBot="1" x14ac:dyDescent="0.4">
      <c r="A54" s="193" t="s">
        <v>1472</v>
      </c>
      <c r="B54" s="194" t="s">
        <v>1473</v>
      </c>
      <c r="C54" s="195" t="s">
        <v>1474</v>
      </c>
    </row>
    <row r="55" spans="1:3" ht="15" thickBot="1" x14ac:dyDescent="0.4">
      <c r="A55" s="193" t="s">
        <v>527</v>
      </c>
      <c r="B55" s="194" t="s">
        <v>1475</v>
      </c>
      <c r="C55" s="194" t="s">
        <v>1210</v>
      </c>
    </row>
  </sheetData>
  <hyperlinks>
    <hyperlink ref="B2" r:id="rId1" tooltip="Angola" display="https://en.wikipedia.org/wiki/Angola"/>
    <hyperlink ref="C2" r:id="rId2" tooltip="Kwanza" display="https://en.wikipedia.org/wiki/Kwanza"/>
    <hyperlink ref="B3" r:id="rId3" tooltip="Burundi" display="https://en.wikipedia.org/wiki/Burundi"/>
    <hyperlink ref="C3" r:id="rId4" tooltip="Burundi franc" display="https://en.wikipedia.org/wiki/Burundi_franc"/>
    <hyperlink ref="B4" r:id="rId5" tooltip="Botswana" display="https://en.wikipedia.org/wiki/Botswana"/>
    <hyperlink ref="C4" r:id="rId6" tooltip="Botswana Pula" display="https://en.wikipedia.org/wiki/Botswana_Pula"/>
    <hyperlink ref="B5" r:id="rId7" tooltip="Democratic Republic of the Congo" display="https://en.wikipedia.org/wiki/Democratic_Republic_of_the_Congo"/>
    <hyperlink ref="C5" r:id="rId8" tooltip="Congolese franc" display="https://en.wikipedia.org/wiki/Congolese_franc"/>
    <hyperlink ref="B6" r:id="rId9" tooltip="Cape Verde" display="https://en.wikipedia.org/wiki/Cape_Verde"/>
    <hyperlink ref="C6" r:id="rId10" tooltip="Cape Verdean Escudo" display="https://en.wikipedia.org/wiki/Cape_Verdean_Escudo"/>
    <hyperlink ref="B7" r:id="rId11" tooltip="Djibouti" display="https://en.wikipedia.org/wiki/Djibouti"/>
    <hyperlink ref="C7" r:id="rId12" tooltip="Djiboutian franc" display="https://en.wikipedia.org/wiki/Djiboutian_franc"/>
    <hyperlink ref="B8" r:id="rId13" tooltip="Algeria" display="https://en.wikipedia.org/wiki/Algeria"/>
    <hyperlink ref="C8" r:id="rId14" tooltip="Algerian dinar" display="https://en.wikipedia.org/wiki/Algerian_dinar"/>
    <hyperlink ref="B9" r:id="rId15" tooltip="Egypt" display="https://en.wikipedia.org/wiki/Egypt"/>
    <hyperlink ref="C9" r:id="rId16" tooltip="Egyptian pound" display="https://en.wikipedia.org/wiki/Egyptian_pound"/>
    <hyperlink ref="B10" r:id="rId17" tooltip="Eritrea" display="https://en.wikipedia.org/wiki/Eritrea"/>
    <hyperlink ref="C10" r:id="rId18" tooltip="Eritrean nakfa" display="https://en.wikipedia.org/wiki/Eritrean_nakfa"/>
    <hyperlink ref="B11" r:id="rId19" tooltip="Ethiopia" display="https://en.wikipedia.org/wiki/Ethiopia"/>
    <hyperlink ref="C11" r:id="rId20" tooltip="Ethiopian birr" display="https://en.wikipedia.org/wiki/Ethiopian_birr"/>
    <hyperlink ref="B12" r:id="rId21" tooltip="Ghana" display="https://en.wikipedia.org/wiki/Ghana"/>
    <hyperlink ref="C12" r:id="rId22" tooltip="Ghanaian cedi" display="https://en.wikipedia.org/wiki/Ghanaian_cedi"/>
    <hyperlink ref="B13" r:id="rId23" tooltip="The Gambia" display="https://en.wikipedia.org/wiki/The_Gambia"/>
    <hyperlink ref="C13" r:id="rId24" tooltip="Dalasi" display="https://en.wikipedia.org/wiki/Dalasi"/>
    <hyperlink ref="B14" r:id="rId25" tooltip="Guinea" display="https://en.wikipedia.org/wiki/Guinea"/>
    <hyperlink ref="C14" r:id="rId26" tooltip="Guinean franc" display="https://en.wikipedia.org/wiki/Guinean_franc"/>
    <hyperlink ref="B15" r:id="rId27" tooltip="Kenya" display="https://en.wikipedia.org/wiki/Kenya"/>
    <hyperlink ref="C15" r:id="rId28" tooltip="Kenyan shilling" display="https://en.wikipedia.org/wiki/Kenyan_shilling"/>
    <hyperlink ref="B16" r:id="rId29" tooltip="Comoros" display="https://en.wikipedia.org/wiki/Comoros"/>
    <hyperlink ref="C16" r:id="rId30" tooltip="Comorian franc" display="https://en.wikipedia.org/wiki/Comorian_franc"/>
    <hyperlink ref="B17" r:id="rId31" tooltip="Liberia" display="https://en.wikipedia.org/wiki/Liberia"/>
    <hyperlink ref="C17" r:id="rId32" tooltip="Liberian dollar" display="https://en.wikipedia.org/wiki/Liberian_dollar"/>
    <hyperlink ref="B18" r:id="rId33" tooltip="Lesotho" display="https://en.wikipedia.org/wiki/Lesotho"/>
    <hyperlink ref="C18" r:id="rId34" tooltip="Lesotho loti" display="https://en.wikipedia.org/wiki/Lesotho_loti"/>
    <hyperlink ref="B19" r:id="rId35" tooltip="Libya" display="https://en.wikipedia.org/wiki/Libya"/>
    <hyperlink ref="C19" r:id="rId36" tooltip="Libyan dinar" display="https://en.wikipedia.org/wiki/Libyan_dinar"/>
    <hyperlink ref="B20" r:id="rId37" tooltip="Morocco" display="https://en.wikipedia.org/wiki/Morocco"/>
    <hyperlink ref="C20" r:id="rId38" tooltip="Moroccan dirham" display="https://en.wikipedia.org/wiki/Moroccan_dirham"/>
    <hyperlink ref="B21" r:id="rId39" tooltip="Madagascar" display="https://en.wikipedia.org/wiki/Madagascar"/>
    <hyperlink ref="C21" r:id="rId40" tooltip="Malagasy ariary" display="https://en.wikipedia.org/wiki/Malagasy_ariary"/>
    <hyperlink ref="B22" r:id="rId41" tooltip="Mauritania" display="https://en.wikipedia.org/wiki/Mauritania"/>
    <hyperlink ref="C22" r:id="rId42" tooltip="Ouguiya" display="https://en.wikipedia.org/wiki/Ouguiya"/>
    <hyperlink ref="B23" r:id="rId43" tooltip="Mauritius" display="https://en.wikipedia.org/wiki/Mauritius"/>
    <hyperlink ref="C23" r:id="rId44" tooltip="Mauritian rupee" display="https://en.wikipedia.org/wiki/Mauritian_rupee"/>
    <hyperlink ref="B24" r:id="rId45" tooltip="Malawi" display="https://en.wikipedia.org/wiki/Malawi"/>
    <hyperlink ref="C24" r:id="rId46" tooltip="Malawian kwacha" display="https://en.wikipedia.org/wiki/Malawian_kwacha"/>
    <hyperlink ref="B25" r:id="rId47" tooltip="Mozambique" display="https://en.wikipedia.org/wiki/Mozambique"/>
    <hyperlink ref="C25" r:id="rId48" tooltip="Mozambican metical" display="https://en.wikipedia.org/wiki/Mozambican_metical"/>
    <hyperlink ref="B26" r:id="rId49" tooltip="Namibia" display="https://en.wikipedia.org/wiki/Namibia"/>
    <hyperlink ref="C26" r:id="rId50" tooltip="Namibian dollar" display="https://en.wikipedia.org/wiki/Namibian_dollar"/>
    <hyperlink ref="B27" r:id="rId51" tooltip="Nigeria" display="https://en.wikipedia.org/wiki/Nigeria"/>
    <hyperlink ref="C27" r:id="rId52" tooltip="Nigerian naira" display="https://en.wikipedia.org/wiki/Nigerian_naira"/>
    <hyperlink ref="B28" r:id="rId53" tooltip="Rwanda" display="https://en.wikipedia.org/wiki/Rwanda"/>
    <hyperlink ref="C28" r:id="rId54" tooltip="Rwandan franc" display="https://en.wikipedia.org/wiki/Rwandan_franc"/>
    <hyperlink ref="B29" r:id="rId55" tooltip="Seychelles" display="https://en.wikipedia.org/wiki/Seychelles"/>
    <hyperlink ref="C29" r:id="rId56" tooltip="Seychellois rupee" display="https://en.wikipedia.org/wiki/Seychellois_rupee"/>
    <hyperlink ref="B30" r:id="rId57" tooltip="Sudan" display="https://en.wikipedia.org/wiki/Sudan"/>
    <hyperlink ref="C30" r:id="rId58" tooltip="Sudanese pound" display="https://en.wikipedia.org/wiki/Sudanese_pound"/>
    <hyperlink ref="B31" r:id="rId59" tooltip="Sierra Leone" display="https://en.wikipedia.org/wiki/Sierra_Leone"/>
    <hyperlink ref="C31" r:id="rId60" tooltip="Sierra Leone" display="https://en.wikipedia.org/wiki/Sierra_Leone"/>
    <hyperlink ref="B32" r:id="rId61" tooltip="Somalia" display="https://en.wikipedia.org/wiki/Somalia"/>
    <hyperlink ref="C32" r:id="rId62" tooltip="Somali shilling" display="https://en.wikipedia.org/wiki/Somali_shilling"/>
    <hyperlink ref="B33" r:id="rId63" tooltip="South Sudan" display="https://en.wikipedia.org/wiki/South_Sudan"/>
    <hyperlink ref="C33" r:id="rId64" tooltip="South Sudanese pound" display="https://en.wikipedia.org/wiki/South_Sudanese_pound"/>
    <hyperlink ref="B34" r:id="rId65" tooltip="São Tomé and Príncipe" display="https://en.wikipedia.org/wiki/S%C3%A3o_Tom%C3%A9_and_Pr%C3%ADncipe"/>
    <hyperlink ref="C34" r:id="rId66" tooltip="São Tomé and Príncipe dobra" display="https://en.wikipedia.org/wiki/S%C3%A3o_Tom%C3%A9_and_Pr%C3%ADncipe_dobra"/>
    <hyperlink ref="B35" r:id="rId67" tooltip="Swaziland" display="https://en.wikipedia.org/wiki/Swaziland"/>
    <hyperlink ref="C35" r:id="rId68" tooltip="Lilangeni" display="https://en.wikipedia.org/wiki/Lilangeni"/>
    <hyperlink ref="B36" r:id="rId69" tooltip="Tunisia" display="https://en.wikipedia.org/wiki/Tunisia"/>
    <hyperlink ref="C36" r:id="rId70" tooltip="Tunisian dinar" display="https://en.wikipedia.org/wiki/Tunisian_dinar"/>
    <hyperlink ref="B37" r:id="rId71" tooltip="Tanzania" display="https://en.wikipedia.org/wiki/Tanzania"/>
    <hyperlink ref="C37" r:id="rId72" tooltip="Tanzanian shilling" display="https://en.wikipedia.org/wiki/Tanzanian_shilling"/>
    <hyperlink ref="B38" r:id="rId73" tooltip="Uganda" display="https://en.wikipedia.org/wiki/Uganda"/>
    <hyperlink ref="C38" r:id="rId74" tooltip="Ugandan shilling" display="https://en.wikipedia.org/wiki/Ugandan_shilling"/>
    <hyperlink ref="B39" r:id="rId75" tooltip="Cameroon" display="https://en.wikipedia.org/wiki/Cameroon"/>
    <hyperlink ref="C39" r:id="rId76" tooltip="CFA franc" display="https://en.wikipedia.org/wiki/CFA_franc"/>
    <hyperlink ref="B40" r:id="rId77" tooltip="Central African Republic" display="https://en.wikipedia.org/wiki/Central_African_Republic"/>
    <hyperlink ref="C40" r:id="rId78" tooltip="CFA franc" display="https://en.wikipedia.org/wiki/CFA_franc"/>
    <hyperlink ref="B41" r:id="rId79" tooltip="Chad" display="https://en.wikipedia.org/wiki/Chad"/>
    <hyperlink ref="C41" r:id="rId80" tooltip="CFA franc" display="https://en.wikipedia.org/wiki/CFA_franc"/>
    <hyperlink ref="B42" r:id="rId81" tooltip="Republic of the Congo" display="https://en.wikipedia.org/wiki/Republic_of_the_Congo"/>
    <hyperlink ref="C42" r:id="rId82" tooltip="CFA franc" display="https://en.wikipedia.org/wiki/CFA_franc"/>
    <hyperlink ref="B43" r:id="rId83" tooltip="Equatorial Guinea" display="https://en.wikipedia.org/wiki/Equatorial_Guinea"/>
    <hyperlink ref="C43" r:id="rId84" tooltip="CFA franc" display="https://en.wikipedia.org/wiki/CFA_franc"/>
    <hyperlink ref="B44" r:id="rId85" tooltip="Gabon" display="https://en.wikipedia.org/wiki/Gabon"/>
    <hyperlink ref="C44" r:id="rId86" tooltip="CFA franc" display="https://en.wikipedia.org/wiki/CFA_franc"/>
    <hyperlink ref="B45" r:id="rId87" tooltip="Benin" display="https://en.wikipedia.org/wiki/Benin"/>
    <hyperlink ref="C45" r:id="rId88" tooltip="CFA franc" display="https://en.wikipedia.org/wiki/CFA_franc"/>
    <hyperlink ref="B46" r:id="rId89" tooltip="Burkina Faso" display="https://en.wikipedia.org/wiki/Burkina_Faso"/>
    <hyperlink ref="C46" r:id="rId90" tooltip="CFA franc" display="https://en.wikipedia.org/wiki/CFA_franc"/>
    <hyperlink ref="B47" r:id="rId91" tooltip="Guinea-Bissau" display="https://en.wikipedia.org/wiki/Guinea-Bissau"/>
    <hyperlink ref="C47" r:id="rId92" tooltip="CFA franc" display="https://en.wikipedia.org/wiki/CFA_franc"/>
    <hyperlink ref="B48" r:id="rId93" tooltip="Ivory Coast" display="https://en.wikipedia.org/wiki/Ivory_Coast"/>
    <hyperlink ref="C48" r:id="rId94" tooltip="CFA franc" display="https://en.wikipedia.org/wiki/CFA_franc"/>
    <hyperlink ref="B49" r:id="rId95" tooltip="Mali" display="https://en.wikipedia.org/wiki/Mali"/>
    <hyperlink ref="C49" r:id="rId96" tooltip="CFA franc" display="https://en.wikipedia.org/wiki/CFA_franc"/>
    <hyperlink ref="B50" r:id="rId97" tooltip="Niger" display="https://en.wikipedia.org/wiki/Niger"/>
    <hyperlink ref="C50" r:id="rId98" tooltip="CFA franc" display="https://en.wikipedia.org/wiki/CFA_franc"/>
    <hyperlink ref="B51" r:id="rId99" tooltip="Senegal" display="https://en.wikipedia.org/wiki/Senegal"/>
    <hyperlink ref="C51" r:id="rId100" tooltip="CFA franc" display="https://en.wikipedia.org/wiki/CFA_franc"/>
    <hyperlink ref="B52" r:id="rId101" tooltip="Togo" display="https://en.wikipedia.org/wiki/Togo"/>
    <hyperlink ref="C52" r:id="rId102" tooltip="CFA franc" display="https://en.wikipedia.org/wiki/CFA_franc"/>
    <hyperlink ref="B53" r:id="rId103" tooltip="South Africa" display="https://en.wikipedia.org/wiki/South_Africa"/>
    <hyperlink ref="C53" r:id="rId104" tooltip="South African Rand" display="https://en.wikipedia.org/wiki/South_African_Rand"/>
    <hyperlink ref="B54" r:id="rId105" tooltip="Zimbabwe" display="https://en.wikipedia.org/wiki/Zimbabwe"/>
    <hyperlink ref="B55" r:id="rId106" tooltip="Zambia" display="https://en.wikipedia.org/wiki/Zambia"/>
    <hyperlink ref="C55" r:id="rId107" tooltip="Zambian kwacha" display="https://en.wikipedia.org/wiki/Zambian_kwacha"/>
  </hyperlinks>
  <pageMargins left="0.7" right="0.7" top="0.75" bottom="0.75" header="0.3" footer="0.3"/>
  <drawing r:id="rId108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B1:P50"/>
  <sheetViews>
    <sheetView topLeftCell="A18" zoomScaleNormal="100" zoomScaleSheetLayoutView="80" workbookViewId="0">
      <selection activeCell="O10" sqref="O10:P34"/>
    </sheetView>
  </sheetViews>
  <sheetFormatPr defaultRowHeight="14.5" x14ac:dyDescent="0.35"/>
  <cols>
    <col min="2" max="2" width="1.81640625" bestFit="1" customWidth="1"/>
    <col min="3" max="3" width="1.81640625" customWidth="1"/>
    <col min="4" max="4" width="17.7265625" bestFit="1" customWidth="1"/>
    <col min="5" max="5" width="12.1796875" bestFit="1" customWidth="1"/>
    <col min="6" max="6" width="6.7265625" customWidth="1"/>
    <col min="7" max="7" width="9.453125" customWidth="1"/>
    <col min="8" max="8" width="6.54296875" customWidth="1"/>
    <col min="9" max="9" width="9.81640625" bestFit="1" customWidth="1"/>
    <col min="10" max="10" width="16.81640625" customWidth="1"/>
    <col min="11" max="11" width="11.81640625" customWidth="1"/>
    <col min="12" max="12" width="12.1796875" bestFit="1" customWidth="1"/>
  </cols>
  <sheetData>
    <row r="1" spans="2:15" ht="12.75" customHeight="1" thickBot="1" x14ac:dyDescent="0.4"/>
    <row r="2" spans="2:15" ht="51.75" customHeight="1" x14ac:dyDescent="0.35">
      <c r="D2" s="107"/>
      <c r="E2" s="108"/>
      <c r="F2" s="108"/>
      <c r="G2" s="108"/>
      <c r="H2" s="108"/>
      <c r="I2" s="108"/>
      <c r="J2" s="108"/>
      <c r="K2" s="108"/>
      <c r="L2" s="109"/>
    </row>
    <row r="3" spans="2:15" ht="12.75" customHeight="1" x14ac:dyDescent="0.35">
      <c r="D3" s="110"/>
      <c r="E3" s="111"/>
      <c r="F3" s="111"/>
      <c r="G3" s="111"/>
      <c r="H3" s="111"/>
      <c r="I3" s="111"/>
      <c r="J3" s="111"/>
      <c r="K3" s="111"/>
      <c r="L3" s="112"/>
    </row>
    <row r="4" spans="2:15" ht="12.75" customHeight="1" x14ac:dyDescent="0.35">
      <c r="D4" s="110"/>
      <c r="E4" s="111"/>
      <c r="F4" s="111"/>
      <c r="G4" s="111"/>
      <c r="H4" s="111"/>
      <c r="I4" s="111"/>
      <c r="J4" s="111"/>
      <c r="K4" s="111"/>
      <c r="L4" s="112"/>
    </row>
    <row r="5" spans="2:15" ht="12.75" customHeight="1" x14ac:dyDescent="0.35">
      <c r="D5" s="113" t="s">
        <v>51</v>
      </c>
      <c r="E5" s="111"/>
      <c r="F5" s="111"/>
      <c r="G5" s="114" t="s">
        <v>52</v>
      </c>
      <c r="H5" s="111"/>
      <c r="I5" s="115"/>
      <c r="J5" s="116" t="s">
        <v>53</v>
      </c>
      <c r="K5" s="116" t="s">
        <v>54</v>
      </c>
      <c r="L5" s="116" t="s">
        <v>527</v>
      </c>
    </row>
    <row r="6" spans="2:15" ht="12.75" customHeight="1" x14ac:dyDescent="0.35">
      <c r="B6">
        <v>4</v>
      </c>
      <c r="D6" s="110" t="str">
        <f>VLOOKUP($B$6,Drivers!$A$5:$B$41,2,0)</f>
        <v>Mack Gwatiringa</v>
      </c>
      <c r="E6" s="111"/>
      <c r="F6" s="111"/>
      <c r="G6" s="114">
        <v>2</v>
      </c>
      <c r="H6" s="111"/>
      <c r="I6" s="117" t="s">
        <v>55</v>
      </c>
      <c r="J6" s="118">
        <f>ROUND(1/VLOOKUP(J$5,Table3[[targetCurrency]:[exchangeRate]],3,0),2)</f>
        <v>11.88</v>
      </c>
      <c r="K6" s="118">
        <f>ROUND(1/VLOOKUP(K$5,Table3[[targetCurrency]:[exchangeRate]],3,0),2)</f>
        <v>1.24</v>
      </c>
      <c r="L6" s="118">
        <f>ROUND(1/VLOOKUP(L$5,Table3[[targetCurrency]:[exchangeRate]],3,0),2)</f>
        <v>1.21</v>
      </c>
    </row>
    <row r="7" spans="2:15" ht="12.75" customHeight="1" x14ac:dyDescent="0.35">
      <c r="D7" s="110"/>
      <c r="E7" s="111"/>
      <c r="F7" s="111"/>
      <c r="G7" s="119"/>
      <c r="H7" s="111"/>
      <c r="I7" s="111"/>
      <c r="J7" s="111"/>
      <c r="K7" s="111"/>
      <c r="L7" s="112"/>
    </row>
    <row r="8" spans="2:15" ht="12.75" customHeight="1" x14ac:dyDescent="0.35">
      <c r="D8" s="120" t="s">
        <v>56</v>
      </c>
      <c r="E8" s="111"/>
      <c r="F8" s="111"/>
      <c r="G8" s="119"/>
      <c r="H8" s="111"/>
      <c r="I8" s="111"/>
      <c r="J8" s="111"/>
      <c r="K8" s="111"/>
      <c r="L8" s="112"/>
    </row>
    <row r="9" spans="2:15" ht="12.75" customHeight="1" x14ac:dyDescent="0.35">
      <c r="D9" s="160" t="s">
        <v>57</v>
      </c>
      <c r="E9" s="121"/>
      <c r="F9" s="121"/>
      <c r="G9" s="121"/>
      <c r="H9" s="121"/>
      <c r="I9" s="121"/>
      <c r="J9" s="121"/>
      <c r="K9" s="121"/>
      <c r="L9" s="121"/>
    </row>
    <row r="10" spans="2:15" x14ac:dyDescent="0.35">
      <c r="D10" s="122" t="s">
        <v>58</v>
      </c>
      <c r="E10" s="123">
        <v>43101</v>
      </c>
      <c r="F10" s="124"/>
      <c r="G10" s="263" t="s">
        <v>32</v>
      </c>
      <c r="H10" s="263"/>
      <c r="I10" s="154" t="str">
        <f>VLOOKUP($B$6,Drivers!$A$5:$C$41,3,0)</f>
        <v>Mack</v>
      </c>
      <c r="J10" s="126" t="s">
        <v>59</v>
      </c>
      <c r="K10" s="124" t="s">
        <v>60</v>
      </c>
      <c r="L10" s="112"/>
      <c r="O10" s="134" t="s">
        <v>77</v>
      </c>
    </row>
    <row r="11" spans="2:15" x14ac:dyDescent="0.35">
      <c r="D11" s="122" t="s">
        <v>61</v>
      </c>
      <c r="E11" s="127" t="s">
        <v>62</v>
      </c>
      <c r="F11" s="111"/>
      <c r="G11" s="263" t="s">
        <v>63</v>
      </c>
      <c r="H11" s="263"/>
      <c r="I11" s="111" t="s">
        <v>64</v>
      </c>
      <c r="J11" s="126" t="s">
        <v>65</v>
      </c>
      <c r="K11" s="125" t="s">
        <v>66</v>
      </c>
      <c r="L11" s="112"/>
      <c r="O11" s="134" t="s">
        <v>79</v>
      </c>
    </row>
    <row r="12" spans="2:15" x14ac:dyDescent="0.35">
      <c r="B12">
        <v>2</v>
      </c>
      <c r="D12" s="122" t="s">
        <v>37</v>
      </c>
      <c r="E12" s="153" t="str">
        <f>VLOOKUP($B$12,Horses!$A$6:$C$42,3,0)</f>
        <v>BG13ZTGP</v>
      </c>
      <c r="F12" s="111"/>
      <c r="G12" s="263" t="s">
        <v>67</v>
      </c>
      <c r="H12" s="263"/>
      <c r="I12" s="125" t="s">
        <v>594</v>
      </c>
      <c r="J12" s="126" t="s">
        <v>68</v>
      </c>
      <c r="K12" s="125" t="s">
        <v>69</v>
      </c>
      <c r="L12" s="112"/>
      <c r="O12" s="134" t="s">
        <v>81</v>
      </c>
    </row>
    <row r="13" spans="2:15" x14ac:dyDescent="0.35">
      <c r="D13" s="110"/>
      <c r="E13" s="264"/>
      <c r="F13" s="264"/>
      <c r="G13" s="264"/>
      <c r="H13" s="264"/>
      <c r="I13" s="111"/>
      <c r="J13" s="111"/>
      <c r="K13" s="111"/>
      <c r="L13" s="112"/>
      <c r="O13" s="134" t="s">
        <v>82</v>
      </c>
    </row>
    <row r="14" spans="2:15" x14ac:dyDescent="0.35">
      <c r="D14" s="120" t="s">
        <v>70</v>
      </c>
      <c r="E14" s="262"/>
      <c r="F14" s="262"/>
      <c r="G14" s="262"/>
      <c r="H14" s="262"/>
      <c r="I14" s="111"/>
      <c r="J14" s="111"/>
      <c r="K14" s="111"/>
      <c r="L14" s="112"/>
      <c r="O14" s="134" t="s">
        <v>85</v>
      </c>
    </row>
    <row r="15" spans="2:15" x14ac:dyDescent="0.35">
      <c r="D15" s="128" t="s">
        <v>71</v>
      </c>
      <c r="E15" s="265"/>
      <c r="F15" s="265"/>
      <c r="G15" s="265" t="s">
        <v>72</v>
      </c>
      <c r="H15" s="265"/>
      <c r="I15" s="121"/>
      <c r="J15" s="129"/>
      <c r="K15" s="121"/>
      <c r="L15" s="130"/>
      <c r="O15" s="134" t="s">
        <v>86</v>
      </c>
    </row>
    <row r="16" spans="2:15" x14ac:dyDescent="0.35">
      <c r="D16" s="131" t="s">
        <v>73</v>
      </c>
      <c r="E16" s="264">
        <v>1600</v>
      </c>
      <c r="F16" s="264"/>
      <c r="G16" s="266" t="s">
        <v>73</v>
      </c>
      <c r="H16" s="266"/>
      <c r="I16" s="111">
        <v>0</v>
      </c>
      <c r="J16" s="132"/>
      <c r="K16" s="111"/>
      <c r="L16" s="112"/>
      <c r="O16" s="134" t="s">
        <v>83</v>
      </c>
    </row>
    <row r="17" spans="4:16" x14ac:dyDescent="0.35">
      <c r="D17" s="131" t="s">
        <v>74</v>
      </c>
      <c r="E17" s="111"/>
      <c r="F17" s="111">
        <v>500</v>
      </c>
      <c r="G17" s="132"/>
      <c r="H17" s="132"/>
      <c r="I17" s="111"/>
      <c r="J17" s="132"/>
      <c r="K17" s="111"/>
      <c r="L17" s="112"/>
      <c r="O17" s="270" t="s">
        <v>77</v>
      </c>
      <c r="P17" s="270"/>
    </row>
    <row r="18" spans="4:16" ht="15" thickBot="1" x14ac:dyDescent="0.4">
      <c r="D18" s="113" t="s">
        <v>75</v>
      </c>
      <c r="E18" s="267">
        <f>SUM(E16)</f>
        <v>1600</v>
      </c>
      <c r="F18" s="267"/>
      <c r="G18" s="264"/>
      <c r="H18" s="264"/>
      <c r="I18" s="133">
        <f>SUM(I16)</f>
        <v>0</v>
      </c>
      <c r="J18" s="111"/>
      <c r="K18" s="111"/>
      <c r="L18" s="112"/>
      <c r="O18" s="270" t="s">
        <v>79</v>
      </c>
      <c r="P18" s="270"/>
    </row>
    <row r="19" spans="4:16" ht="15" thickTop="1" x14ac:dyDescent="0.35">
      <c r="D19" s="110"/>
      <c r="E19" s="264"/>
      <c r="F19" s="264"/>
      <c r="G19" s="264"/>
      <c r="H19" s="264"/>
      <c r="I19" s="111"/>
      <c r="J19" s="111"/>
      <c r="K19" s="111"/>
      <c r="L19" s="112"/>
      <c r="O19" s="270" t="s">
        <v>81</v>
      </c>
      <c r="P19" s="270"/>
    </row>
    <row r="20" spans="4:16" x14ac:dyDescent="0.35">
      <c r="D20" s="120" t="s">
        <v>11</v>
      </c>
      <c r="E20" s="262"/>
      <c r="F20" s="262"/>
      <c r="G20" s="262"/>
      <c r="H20" s="262"/>
      <c r="I20" s="111"/>
      <c r="J20" s="111"/>
      <c r="K20" s="111"/>
      <c r="L20" s="112"/>
      <c r="O20" s="270" t="s">
        <v>83</v>
      </c>
      <c r="P20" s="270"/>
    </row>
    <row r="21" spans="4:16" x14ac:dyDescent="0.35">
      <c r="D21" s="128" t="s">
        <v>71</v>
      </c>
      <c r="E21" s="265"/>
      <c r="F21" s="265"/>
      <c r="G21" s="265" t="s">
        <v>72</v>
      </c>
      <c r="H21" s="265"/>
      <c r="I21" s="121"/>
      <c r="J21" s="129" t="s">
        <v>76</v>
      </c>
      <c r="K21" s="129"/>
      <c r="L21" s="130"/>
      <c r="O21" s="166" t="s">
        <v>80</v>
      </c>
    </row>
    <row r="22" spans="4:16" x14ac:dyDescent="0.35">
      <c r="D22" s="134" t="s">
        <v>77</v>
      </c>
      <c r="E22" s="268">
        <v>1700</v>
      </c>
      <c r="F22" s="269"/>
      <c r="G22" s="270" t="s">
        <v>77</v>
      </c>
      <c r="H22" s="270"/>
      <c r="I22" s="125">
        <v>1700</v>
      </c>
      <c r="J22" s="135"/>
      <c r="K22" s="125"/>
      <c r="L22" s="136" t="s">
        <v>78</v>
      </c>
      <c r="O22" s="166" t="s">
        <v>13</v>
      </c>
    </row>
    <row r="23" spans="4:16" x14ac:dyDescent="0.35">
      <c r="D23" s="134" t="s">
        <v>79</v>
      </c>
      <c r="E23" s="268">
        <v>0</v>
      </c>
      <c r="F23" s="268"/>
      <c r="G23" s="270" t="s">
        <v>79</v>
      </c>
      <c r="H23" s="270"/>
      <c r="I23" s="125">
        <v>500</v>
      </c>
      <c r="J23" s="135" t="s">
        <v>80</v>
      </c>
      <c r="K23" s="125">
        <v>1530</v>
      </c>
      <c r="L23" s="137">
        <v>42464</v>
      </c>
      <c r="O23" s="166" t="s">
        <v>84</v>
      </c>
    </row>
    <row r="24" spans="4:16" x14ac:dyDescent="0.35">
      <c r="D24" s="134" t="s">
        <v>81</v>
      </c>
      <c r="E24" s="268">
        <v>0</v>
      </c>
      <c r="F24" s="268"/>
      <c r="G24" s="270" t="s">
        <v>81</v>
      </c>
      <c r="H24" s="270"/>
      <c r="I24" s="125">
        <v>300</v>
      </c>
      <c r="J24" s="135" t="s">
        <v>13</v>
      </c>
      <c r="K24" s="125">
        <v>1530</v>
      </c>
      <c r="L24" s="137">
        <v>42464</v>
      </c>
      <c r="O24" s="131" t="s">
        <v>88</v>
      </c>
    </row>
    <row r="25" spans="4:16" x14ac:dyDescent="0.35">
      <c r="D25" s="134" t="s">
        <v>82</v>
      </c>
      <c r="E25" s="268">
        <v>340</v>
      </c>
      <c r="F25" s="268"/>
      <c r="G25" s="270" t="s">
        <v>83</v>
      </c>
      <c r="H25" s="270"/>
      <c r="I25" s="125">
        <v>345</v>
      </c>
      <c r="J25" s="135" t="s">
        <v>84</v>
      </c>
      <c r="K25" s="125">
        <v>1020</v>
      </c>
      <c r="L25" s="137">
        <v>42464</v>
      </c>
      <c r="O25" s="131" t="s">
        <v>89</v>
      </c>
    </row>
    <row r="26" spans="4:16" x14ac:dyDescent="0.35">
      <c r="D26" s="134" t="s">
        <v>85</v>
      </c>
      <c r="E26" s="268">
        <v>390</v>
      </c>
      <c r="F26" s="268"/>
      <c r="G26" s="268"/>
      <c r="H26" s="268"/>
      <c r="I26" s="125"/>
      <c r="J26" s="135"/>
      <c r="K26" s="125"/>
      <c r="L26" s="138"/>
      <c r="O26" s="131" t="s">
        <v>79</v>
      </c>
    </row>
    <row r="27" spans="4:16" x14ac:dyDescent="0.35">
      <c r="D27" s="134" t="s">
        <v>86</v>
      </c>
      <c r="E27" s="268">
        <v>680</v>
      </c>
      <c r="F27" s="268"/>
      <c r="G27" s="268"/>
      <c r="H27" s="268"/>
      <c r="I27" s="125"/>
      <c r="J27" s="135"/>
      <c r="K27" s="125"/>
      <c r="L27" s="138"/>
      <c r="O27" s="131" t="s">
        <v>81</v>
      </c>
    </row>
    <row r="28" spans="4:16" x14ac:dyDescent="0.35">
      <c r="D28" s="134" t="s">
        <v>83</v>
      </c>
      <c r="E28" s="268">
        <v>390</v>
      </c>
      <c r="F28" s="268"/>
      <c r="G28" s="268"/>
      <c r="H28" s="268"/>
      <c r="I28" s="125"/>
      <c r="J28" s="135"/>
      <c r="K28" s="125"/>
      <c r="L28" s="138"/>
      <c r="O28" s="266" t="s">
        <v>79</v>
      </c>
      <c r="P28" s="266"/>
    </row>
    <row r="29" spans="4:16" ht="15" thickBot="1" x14ac:dyDescent="0.4">
      <c r="D29" s="139" t="s">
        <v>75</v>
      </c>
      <c r="E29" s="271">
        <f>SUM(E22:F28)</f>
        <v>3500</v>
      </c>
      <c r="F29" s="272"/>
      <c r="G29" s="273"/>
      <c r="H29" s="273"/>
      <c r="I29" s="140">
        <f>SUM(I22:I28)</f>
        <v>2845</v>
      </c>
      <c r="J29" s="125"/>
      <c r="K29" s="140">
        <f>SUM(K22:K28)</f>
        <v>4080</v>
      </c>
      <c r="L29" s="138"/>
      <c r="O29" s="266" t="s">
        <v>81</v>
      </c>
      <c r="P29" s="266"/>
    </row>
    <row r="30" spans="4:16" ht="15" thickTop="1" x14ac:dyDescent="0.35">
      <c r="D30" s="141"/>
      <c r="E30" s="273"/>
      <c r="F30" s="273"/>
      <c r="G30" s="273"/>
      <c r="H30" s="273"/>
      <c r="I30" s="125"/>
      <c r="J30" s="125"/>
      <c r="K30" s="125"/>
      <c r="L30" s="138"/>
      <c r="O30" s="165" t="s">
        <v>90</v>
      </c>
    </row>
    <row r="31" spans="4:16" x14ac:dyDescent="0.35">
      <c r="D31" s="120" t="s">
        <v>87</v>
      </c>
      <c r="E31" s="262"/>
      <c r="F31" s="262"/>
      <c r="G31" s="262"/>
      <c r="H31" s="262"/>
      <c r="I31" s="111"/>
      <c r="J31" s="111"/>
      <c r="K31" s="111"/>
      <c r="L31" s="112"/>
      <c r="O31" s="165" t="s">
        <v>80</v>
      </c>
    </row>
    <row r="32" spans="4:16" x14ac:dyDescent="0.35">
      <c r="D32" s="128" t="s">
        <v>71</v>
      </c>
      <c r="E32" s="265"/>
      <c r="F32" s="265"/>
      <c r="G32" s="265" t="s">
        <v>72</v>
      </c>
      <c r="H32" s="265"/>
      <c r="I32" s="121"/>
      <c r="J32" s="129" t="s">
        <v>76</v>
      </c>
      <c r="K32" s="129"/>
      <c r="L32" s="130"/>
      <c r="O32" s="165" t="s">
        <v>13</v>
      </c>
    </row>
    <row r="33" spans="4:15" x14ac:dyDescent="0.35">
      <c r="D33" s="131" t="s">
        <v>88</v>
      </c>
      <c r="E33" s="264">
        <v>1700</v>
      </c>
      <c r="F33" s="264"/>
      <c r="G33" s="266" t="s">
        <v>79</v>
      </c>
      <c r="H33" s="266"/>
      <c r="I33" s="111">
        <v>500</v>
      </c>
      <c r="J33" s="132"/>
      <c r="K33" s="111"/>
      <c r="L33" s="142" t="s">
        <v>78</v>
      </c>
      <c r="O33" s="131" t="s">
        <v>93</v>
      </c>
    </row>
    <row r="34" spans="4:15" x14ac:dyDescent="0.35">
      <c r="D34" s="131" t="s">
        <v>89</v>
      </c>
      <c r="E34" s="274">
        <v>380</v>
      </c>
      <c r="F34" s="274"/>
      <c r="G34" s="266" t="s">
        <v>81</v>
      </c>
      <c r="H34" s="266"/>
      <c r="I34" s="111">
        <v>300</v>
      </c>
      <c r="J34" s="132" t="s">
        <v>90</v>
      </c>
      <c r="K34" s="111">
        <v>0</v>
      </c>
      <c r="L34" s="143">
        <v>42724</v>
      </c>
      <c r="O34" s="131" t="s">
        <v>94</v>
      </c>
    </row>
    <row r="35" spans="4:15" x14ac:dyDescent="0.35">
      <c r="D35" s="131" t="s">
        <v>79</v>
      </c>
      <c r="E35" s="274">
        <v>500</v>
      </c>
      <c r="F35" s="274"/>
      <c r="G35" s="266"/>
      <c r="H35" s="266"/>
      <c r="I35" s="111"/>
      <c r="J35" s="132" t="s">
        <v>80</v>
      </c>
      <c r="K35" s="111">
        <v>0</v>
      </c>
      <c r="L35" s="143">
        <v>42480</v>
      </c>
    </row>
    <row r="36" spans="4:15" x14ac:dyDescent="0.35">
      <c r="D36" s="131" t="s">
        <v>81</v>
      </c>
      <c r="E36" s="274">
        <v>300</v>
      </c>
      <c r="F36" s="274"/>
      <c r="G36" s="266"/>
      <c r="H36" s="266"/>
      <c r="I36" s="111"/>
      <c r="J36" s="132" t="s">
        <v>13</v>
      </c>
      <c r="K36" s="111">
        <v>0</v>
      </c>
      <c r="L36" s="143">
        <v>42480</v>
      </c>
    </row>
    <row r="37" spans="4:15" ht="15" thickBot="1" x14ac:dyDescent="0.4">
      <c r="D37" s="113" t="s">
        <v>91</v>
      </c>
      <c r="E37" s="267">
        <f>SUM(E33:F36)</f>
        <v>2880</v>
      </c>
      <c r="F37" s="267"/>
      <c r="G37" s="264"/>
      <c r="H37" s="264"/>
      <c r="I37" s="133">
        <f>SUM(I33:I36)</f>
        <v>800</v>
      </c>
      <c r="J37" s="111"/>
      <c r="K37" s="133">
        <f>SUM(K33:K36)</f>
        <v>0</v>
      </c>
      <c r="L37" s="112"/>
    </row>
    <row r="38" spans="4:15" ht="15" thickTop="1" x14ac:dyDescent="0.35">
      <c r="D38" s="110"/>
      <c r="E38" s="264"/>
      <c r="F38" s="264"/>
      <c r="G38" s="264"/>
      <c r="H38" s="264"/>
      <c r="I38" s="111"/>
      <c r="J38" s="111"/>
      <c r="K38" s="111"/>
      <c r="L38" s="112"/>
    </row>
    <row r="39" spans="4:15" x14ac:dyDescent="0.35">
      <c r="D39" s="128" t="s">
        <v>92</v>
      </c>
      <c r="E39" s="265"/>
      <c r="F39" s="265"/>
      <c r="G39" s="265"/>
      <c r="H39" s="265"/>
      <c r="I39" s="121"/>
      <c r="J39" s="121"/>
      <c r="K39" s="121"/>
      <c r="L39" s="130"/>
    </row>
    <row r="40" spans="4:15" x14ac:dyDescent="0.35">
      <c r="D40" s="131" t="s">
        <v>93</v>
      </c>
      <c r="E40" s="264">
        <v>1000</v>
      </c>
      <c r="F40" s="264"/>
      <c r="G40" s="264"/>
      <c r="H40" s="264"/>
      <c r="I40" s="111"/>
      <c r="J40" s="111"/>
      <c r="K40" s="111"/>
      <c r="L40" s="112"/>
    </row>
    <row r="41" spans="4:15" x14ac:dyDescent="0.35">
      <c r="D41" s="131" t="s">
        <v>94</v>
      </c>
      <c r="E41" s="264">
        <v>500</v>
      </c>
      <c r="F41" s="264"/>
      <c r="G41" s="264"/>
      <c r="H41" s="264"/>
      <c r="I41" s="111"/>
      <c r="J41" s="111"/>
      <c r="K41" s="111"/>
      <c r="L41" s="112"/>
    </row>
    <row r="42" spans="4:15" ht="15" thickBot="1" x14ac:dyDescent="0.4">
      <c r="D42" s="113" t="s">
        <v>75</v>
      </c>
      <c r="E42" s="267">
        <f>SUM(E40:F41)</f>
        <v>1500</v>
      </c>
      <c r="F42" s="267"/>
      <c r="G42" s="264"/>
      <c r="H42" s="264"/>
      <c r="I42" s="111"/>
      <c r="J42" s="111"/>
      <c r="K42" s="111"/>
      <c r="L42" s="112"/>
    </row>
    <row r="43" spans="4:15" ht="15" thickTop="1" x14ac:dyDescent="0.35">
      <c r="D43" s="110"/>
      <c r="E43" s="264"/>
      <c r="F43" s="264"/>
      <c r="G43" s="264"/>
      <c r="H43" s="264"/>
      <c r="I43" s="111"/>
      <c r="J43" s="111"/>
      <c r="K43" s="111"/>
      <c r="L43" s="112"/>
    </row>
    <row r="44" spans="4:15" ht="15" thickBot="1" x14ac:dyDescent="0.4">
      <c r="D44" s="144" t="s">
        <v>95</v>
      </c>
      <c r="E44" s="275">
        <f>SUM(E18,I18,K18,E29,I29,K29,E37,K37,I37,E42)</f>
        <v>17205</v>
      </c>
      <c r="F44" s="275"/>
      <c r="G44" s="264"/>
      <c r="H44" s="264"/>
      <c r="I44" s="111"/>
      <c r="J44" s="145" t="s">
        <v>96</v>
      </c>
      <c r="K44" s="133"/>
      <c r="L44" s="112"/>
    </row>
    <row r="45" spans="4:15" ht="15" thickTop="1" x14ac:dyDescent="0.35">
      <c r="D45" s="144"/>
      <c r="E45" s="276"/>
      <c r="F45" s="276"/>
      <c r="G45" s="145"/>
      <c r="H45" s="145"/>
      <c r="I45" s="111"/>
      <c r="J45" s="145"/>
      <c r="K45" s="146"/>
      <c r="L45" s="112"/>
    </row>
    <row r="46" spans="4:15" x14ac:dyDescent="0.35">
      <c r="D46" s="144"/>
      <c r="E46" s="276"/>
      <c r="F46" s="276"/>
      <c r="G46" s="145"/>
      <c r="H46" s="145"/>
      <c r="I46" s="111"/>
      <c r="J46" s="145"/>
      <c r="K46" s="146"/>
      <c r="L46" s="112"/>
    </row>
    <row r="47" spans="4:15" x14ac:dyDescent="0.35">
      <c r="D47" s="144" t="s">
        <v>97</v>
      </c>
      <c r="E47" s="277"/>
      <c r="F47" s="277"/>
      <c r="G47" s="147"/>
      <c r="H47" s="111"/>
      <c r="I47" s="111"/>
      <c r="J47" s="145" t="s">
        <v>98</v>
      </c>
      <c r="K47" s="148"/>
      <c r="L47" s="149"/>
    </row>
    <row r="48" spans="4:15" x14ac:dyDescent="0.35">
      <c r="D48" s="144"/>
      <c r="E48" s="276"/>
      <c r="F48" s="276"/>
      <c r="G48" s="145"/>
      <c r="H48" s="145"/>
      <c r="I48" s="111"/>
      <c r="J48" s="145"/>
      <c r="K48" s="146"/>
      <c r="L48" s="112"/>
    </row>
    <row r="49" spans="4:12" x14ac:dyDescent="0.35">
      <c r="D49" s="144"/>
      <c r="E49" s="276"/>
      <c r="F49" s="276"/>
      <c r="G49" s="145"/>
      <c r="H49" s="145"/>
      <c r="I49" s="111"/>
      <c r="J49" s="145"/>
      <c r="K49" s="146"/>
      <c r="L49" s="112"/>
    </row>
    <row r="50" spans="4:12" ht="15" thickBot="1" x14ac:dyDescent="0.4">
      <c r="D50" s="150"/>
      <c r="E50" s="278"/>
      <c r="F50" s="278"/>
      <c r="G50" s="151"/>
      <c r="H50" s="151"/>
      <c r="I50" s="151"/>
      <c r="J50" s="151"/>
      <c r="K50" s="151"/>
      <c r="L50" s="152"/>
    </row>
  </sheetData>
  <mergeCells count="77">
    <mergeCell ref="O29:P29"/>
    <mergeCell ref="O17:P17"/>
    <mergeCell ref="O18:P18"/>
    <mergeCell ref="O19:P19"/>
    <mergeCell ref="O20:P20"/>
    <mergeCell ref="O28:P28"/>
    <mergeCell ref="E47:F47"/>
    <mergeCell ref="E48:F48"/>
    <mergeCell ref="E49:F49"/>
    <mergeCell ref="E50:F50"/>
    <mergeCell ref="E43:F43"/>
    <mergeCell ref="G43:H43"/>
    <mergeCell ref="E44:F44"/>
    <mergeCell ref="G44:H44"/>
    <mergeCell ref="E45:F45"/>
    <mergeCell ref="E46:F46"/>
    <mergeCell ref="E40:F40"/>
    <mergeCell ref="G40:H40"/>
    <mergeCell ref="E41:F41"/>
    <mergeCell ref="G41:H41"/>
    <mergeCell ref="E42:F42"/>
    <mergeCell ref="G42:H42"/>
    <mergeCell ref="E37:F37"/>
    <mergeCell ref="G37:H37"/>
    <mergeCell ref="E38:F38"/>
    <mergeCell ref="G38:H38"/>
    <mergeCell ref="E39:F39"/>
    <mergeCell ref="G39:H39"/>
    <mergeCell ref="E34:F34"/>
    <mergeCell ref="G34:H34"/>
    <mergeCell ref="E35:F35"/>
    <mergeCell ref="G35:H35"/>
    <mergeCell ref="E36:F36"/>
    <mergeCell ref="G36:H36"/>
    <mergeCell ref="E31:F31"/>
    <mergeCell ref="G31:H31"/>
    <mergeCell ref="E32:F32"/>
    <mergeCell ref="G32:H32"/>
    <mergeCell ref="E33:F33"/>
    <mergeCell ref="G33:H33"/>
    <mergeCell ref="E28:F28"/>
    <mergeCell ref="G28:H28"/>
    <mergeCell ref="E29:F29"/>
    <mergeCell ref="G29:H29"/>
    <mergeCell ref="E30:F30"/>
    <mergeCell ref="G30:H30"/>
    <mergeCell ref="E25:F25"/>
    <mergeCell ref="G25:H25"/>
    <mergeCell ref="E26:F26"/>
    <mergeCell ref="G26:H26"/>
    <mergeCell ref="E27:F27"/>
    <mergeCell ref="G27:H27"/>
    <mergeCell ref="E22:F22"/>
    <mergeCell ref="G22:H22"/>
    <mergeCell ref="E23:F23"/>
    <mergeCell ref="G23:H23"/>
    <mergeCell ref="E24:F24"/>
    <mergeCell ref="G24:H24"/>
    <mergeCell ref="E19:F19"/>
    <mergeCell ref="G19:H19"/>
    <mergeCell ref="E20:F20"/>
    <mergeCell ref="G20:H20"/>
    <mergeCell ref="E21:F21"/>
    <mergeCell ref="G21:H21"/>
    <mergeCell ref="E15:F15"/>
    <mergeCell ref="G15:H15"/>
    <mergeCell ref="E16:F16"/>
    <mergeCell ref="G16:H16"/>
    <mergeCell ref="E18:F18"/>
    <mergeCell ref="G18:H18"/>
    <mergeCell ref="E14:F14"/>
    <mergeCell ref="G14:H14"/>
    <mergeCell ref="G10:H10"/>
    <mergeCell ref="G11:H11"/>
    <mergeCell ref="G12:H12"/>
    <mergeCell ref="E13:F13"/>
    <mergeCell ref="G13:H13"/>
  </mergeCells>
  <printOptions horizontalCentered="1"/>
  <pageMargins left="0.23622047244094491" right="0.23622047244094491" top="0.74803149606299213" bottom="0.74803149606299213" header="0.31496062992125984" footer="0.31496062992125984"/>
  <pageSetup paperSize="9" fitToHeight="0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5" name="Drop Down 4">
              <controlPr defaultSize="0" print="0" autoLine="0" autoPict="0">
                <anchor moveWithCells="1">
                  <from>
                    <xdr:col>3</xdr:col>
                    <xdr:colOff>6350</xdr:colOff>
                    <xdr:row>5</xdr:row>
                    <xdr:rowOff>0</xdr:rowOff>
                  </from>
                  <to>
                    <xdr:col>5</xdr:col>
                    <xdr:colOff>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Drop Down 5">
              <controlPr defaultSize="0" print="0" autoLine="0" autoPict="0">
                <anchor moveWithCells="1">
                  <from>
                    <xdr:col>4</xdr:col>
                    <xdr:colOff>0</xdr:colOff>
                    <xdr:row>11</xdr:row>
                    <xdr:rowOff>0</xdr:rowOff>
                  </from>
                  <to>
                    <xdr:col>6</xdr:col>
                    <xdr:colOff>6350</xdr:colOff>
                    <xdr:row>12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149"/>
  <sheetViews>
    <sheetView topLeftCell="K91" workbookViewId="0">
      <selection activeCell="O1" sqref="O1"/>
    </sheetView>
  </sheetViews>
  <sheetFormatPr defaultRowHeight="14.5" x14ac:dyDescent="0.35"/>
  <cols>
    <col min="1" max="1" width="54" bestFit="1" customWidth="1"/>
    <col min="2" max="2" width="36.1796875" bestFit="1" customWidth="1"/>
    <col min="3" max="3" width="35.6328125" bestFit="1" customWidth="1"/>
    <col min="4" max="4" width="80.7265625" bestFit="1" customWidth="1"/>
    <col min="5" max="5" width="10.54296875" bestFit="1" customWidth="1"/>
    <col min="6" max="6" width="14.453125" bestFit="1" customWidth="1"/>
    <col min="7" max="8" width="27" bestFit="1" customWidth="1"/>
    <col min="9" max="9" width="24.7265625" bestFit="1" customWidth="1"/>
    <col min="10" max="10" width="33.08984375" bestFit="1" customWidth="1"/>
    <col min="11" max="11" width="65.6328125" bestFit="1" customWidth="1"/>
    <col min="12" max="12" width="27" bestFit="1" customWidth="1"/>
    <col min="13" max="13" width="15.54296875" bestFit="1" customWidth="1"/>
    <col min="14" max="14" width="16.81640625" bestFit="1" customWidth="1"/>
    <col min="15" max="15" width="15.7265625" bestFit="1" customWidth="1"/>
    <col min="16" max="16" width="35.7265625" bestFit="1" customWidth="1"/>
    <col min="17" max="17" width="14.7265625" bestFit="1" customWidth="1"/>
  </cols>
  <sheetData>
    <row r="1" spans="1:17" x14ac:dyDescent="0.35">
      <c r="A1" t="s">
        <v>595</v>
      </c>
      <c r="B1" t="s">
        <v>596</v>
      </c>
      <c r="C1" t="s">
        <v>597</v>
      </c>
      <c r="D1" t="s">
        <v>598</v>
      </c>
      <c r="E1" t="s">
        <v>599</v>
      </c>
      <c r="F1" t="s">
        <v>600</v>
      </c>
      <c r="G1" t="s">
        <v>601</v>
      </c>
      <c r="H1" t="s">
        <v>602</v>
      </c>
      <c r="I1" t="s">
        <v>607</v>
      </c>
      <c r="J1" t="s">
        <v>608</v>
      </c>
      <c r="K1" t="s">
        <v>609</v>
      </c>
      <c r="L1" t="s">
        <v>610</v>
      </c>
      <c r="M1" t="s">
        <v>611</v>
      </c>
      <c r="N1" t="s">
        <v>603</v>
      </c>
      <c r="O1" t="s">
        <v>604</v>
      </c>
      <c r="P1" t="s">
        <v>605</v>
      </c>
      <c r="Q1" t="s">
        <v>606</v>
      </c>
    </row>
    <row r="2" spans="1:17" x14ac:dyDescent="0.35">
      <c r="A2" s="158" t="s">
        <v>612</v>
      </c>
      <c r="B2" s="159" t="s">
        <v>613</v>
      </c>
      <c r="C2" s="159" t="s">
        <v>614</v>
      </c>
      <c r="D2" s="158" t="s">
        <v>615</v>
      </c>
      <c r="E2" s="158" t="s">
        <v>551</v>
      </c>
      <c r="F2" s="158" t="s">
        <v>526</v>
      </c>
      <c r="G2" s="158" t="s">
        <v>616</v>
      </c>
      <c r="H2" s="158" t="s">
        <v>616</v>
      </c>
      <c r="I2" s="158" t="s">
        <v>617</v>
      </c>
      <c r="J2" s="159" t="s">
        <v>765</v>
      </c>
      <c r="K2" s="158" t="s">
        <v>913</v>
      </c>
      <c r="L2" s="158" t="s">
        <v>616</v>
      </c>
      <c r="M2" s="158" t="s">
        <v>526</v>
      </c>
      <c r="N2" s="158" t="s">
        <v>1061</v>
      </c>
      <c r="O2" s="158" t="s">
        <v>53</v>
      </c>
      <c r="P2" s="158" t="s">
        <v>1065</v>
      </c>
      <c r="Q2" s="158" t="s">
        <v>1213</v>
      </c>
    </row>
    <row r="3" spans="1:17" x14ac:dyDescent="0.35">
      <c r="A3" s="158" t="s">
        <v>612</v>
      </c>
      <c r="B3" s="159" t="s">
        <v>613</v>
      </c>
      <c r="C3" s="159" t="s">
        <v>614</v>
      </c>
      <c r="D3" s="158" t="s">
        <v>615</v>
      </c>
      <c r="E3" s="158" t="s">
        <v>551</v>
      </c>
      <c r="F3" s="158" t="s">
        <v>526</v>
      </c>
      <c r="G3" s="158" t="s">
        <v>616</v>
      </c>
      <c r="H3" s="158" t="s">
        <v>616</v>
      </c>
      <c r="I3" s="158" t="s">
        <v>618</v>
      </c>
      <c r="J3" s="159" t="s">
        <v>766</v>
      </c>
      <c r="K3" s="158" t="s">
        <v>914</v>
      </c>
      <c r="L3" s="158" t="s">
        <v>616</v>
      </c>
      <c r="M3" s="158" t="s">
        <v>526</v>
      </c>
      <c r="N3" s="158" t="s">
        <v>1061</v>
      </c>
      <c r="O3" s="158" t="s">
        <v>382</v>
      </c>
      <c r="P3" s="158" t="s">
        <v>1066</v>
      </c>
      <c r="Q3" s="158" t="s">
        <v>1214</v>
      </c>
    </row>
    <row r="4" spans="1:17" x14ac:dyDescent="0.35">
      <c r="A4" s="158" t="s">
        <v>612</v>
      </c>
      <c r="B4" s="159" t="s">
        <v>613</v>
      </c>
      <c r="C4" s="159" t="s">
        <v>614</v>
      </c>
      <c r="D4" s="158" t="s">
        <v>615</v>
      </c>
      <c r="E4" s="158" t="s">
        <v>551</v>
      </c>
      <c r="F4" s="158" t="s">
        <v>526</v>
      </c>
      <c r="G4" s="158" t="s">
        <v>616</v>
      </c>
      <c r="H4" s="158" t="s">
        <v>616</v>
      </c>
      <c r="I4" s="158" t="s">
        <v>619</v>
      </c>
      <c r="J4" s="159" t="s">
        <v>767</v>
      </c>
      <c r="K4" s="158" t="s">
        <v>915</v>
      </c>
      <c r="L4" s="158" t="s">
        <v>616</v>
      </c>
      <c r="M4" s="158" t="s">
        <v>526</v>
      </c>
      <c r="N4" s="158" t="s">
        <v>1061</v>
      </c>
      <c r="O4" s="158" t="s">
        <v>429</v>
      </c>
      <c r="P4" s="158" t="s">
        <v>1067</v>
      </c>
      <c r="Q4" s="158" t="s">
        <v>1215</v>
      </c>
    </row>
    <row r="5" spans="1:17" x14ac:dyDescent="0.35">
      <c r="A5" s="158" t="s">
        <v>612</v>
      </c>
      <c r="B5" s="159" t="s">
        <v>613</v>
      </c>
      <c r="C5" s="159" t="s">
        <v>614</v>
      </c>
      <c r="D5" s="158" t="s">
        <v>615</v>
      </c>
      <c r="E5" s="158" t="s">
        <v>551</v>
      </c>
      <c r="F5" s="158" t="s">
        <v>526</v>
      </c>
      <c r="G5" s="158" t="s">
        <v>616</v>
      </c>
      <c r="H5" s="158" t="s">
        <v>616</v>
      </c>
      <c r="I5" s="158" t="s">
        <v>620</v>
      </c>
      <c r="J5" s="159" t="s">
        <v>768</v>
      </c>
      <c r="K5" s="158" t="s">
        <v>916</v>
      </c>
      <c r="L5" s="158" t="s">
        <v>616</v>
      </c>
      <c r="M5" s="158" t="s">
        <v>526</v>
      </c>
      <c r="N5" s="158" t="s">
        <v>1061</v>
      </c>
      <c r="O5" s="158" t="s">
        <v>450</v>
      </c>
      <c r="P5" s="158" t="s">
        <v>1068</v>
      </c>
      <c r="Q5" s="158" t="s">
        <v>1216</v>
      </c>
    </row>
    <row r="6" spans="1:17" x14ac:dyDescent="0.35">
      <c r="A6" s="158" t="s">
        <v>612</v>
      </c>
      <c r="B6" s="159" t="s">
        <v>613</v>
      </c>
      <c r="C6" s="159" t="s">
        <v>614</v>
      </c>
      <c r="D6" s="158" t="s">
        <v>615</v>
      </c>
      <c r="E6" s="158" t="s">
        <v>551</v>
      </c>
      <c r="F6" s="158" t="s">
        <v>526</v>
      </c>
      <c r="G6" s="158" t="s">
        <v>616</v>
      </c>
      <c r="H6" s="158" t="s">
        <v>616</v>
      </c>
      <c r="I6" s="158" t="s">
        <v>621</v>
      </c>
      <c r="J6" s="159" t="s">
        <v>769</v>
      </c>
      <c r="K6" s="158" t="s">
        <v>917</v>
      </c>
      <c r="L6" s="158" t="s">
        <v>616</v>
      </c>
      <c r="M6" s="158" t="s">
        <v>526</v>
      </c>
      <c r="N6" s="158" t="s">
        <v>1061</v>
      </c>
      <c r="O6" s="158" t="s">
        <v>410</v>
      </c>
      <c r="P6" s="158" t="s">
        <v>1069</v>
      </c>
      <c r="Q6" s="158" t="s">
        <v>1217</v>
      </c>
    </row>
    <row r="7" spans="1:17" x14ac:dyDescent="0.35">
      <c r="A7" s="158" t="s">
        <v>612</v>
      </c>
      <c r="B7" s="159" t="s">
        <v>613</v>
      </c>
      <c r="C7" s="159" t="s">
        <v>614</v>
      </c>
      <c r="D7" s="158" t="s">
        <v>615</v>
      </c>
      <c r="E7" s="158" t="s">
        <v>551</v>
      </c>
      <c r="F7" s="158" t="s">
        <v>526</v>
      </c>
      <c r="G7" s="158" t="s">
        <v>616</v>
      </c>
      <c r="H7" s="158" t="s">
        <v>616</v>
      </c>
      <c r="I7" s="158" t="s">
        <v>622</v>
      </c>
      <c r="J7" s="159" t="s">
        <v>770</v>
      </c>
      <c r="K7" s="158" t="s">
        <v>918</v>
      </c>
      <c r="L7" s="158" t="s">
        <v>616</v>
      </c>
      <c r="M7" s="158" t="s">
        <v>526</v>
      </c>
      <c r="N7" s="158" t="s">
        <v>1061</v>
      </c>
      <c r="O7" s="158" t="s">
        <v>407</v>
      </c>
      <c r="P7" s="158" t="s">
        <v>1070</v>
      </c>
      <c r="Q7" s="158" t="s">
        <v>1218</v>
      </c>
    </row>
    <row r="8" spans="1:17" x14ac:dyDescent="0.35">
      <c r="A8" s="158" t="s">
        <v>612</v>
      </c>
      <c r="B8" s="159" t="s">
        <v>613</v>
      </c>
      <c r="C8" s="159" t="s">
        <v>614</v>
      </c>
      <c r="D8" s="158" t="s">
        <v>615</v>
      </c>
      <c r="E8" s="158" t="s">
        <v>551</v>
      </c>
      <c r="F8" s="158" t="s">
        <v>526</v>
      </c>
      <c r="G8" s="158" t="s">
        <v>616</v>
      </c>
      <c r="H8" s="158" t="s">
        <v>616</v>
      </c>
      <c r="I8" s="158" t="s">
        <v>623</v>
      </c>
      <c r="J8" s="159" t="s">
        <v>771</v>
      </c>
      <c r="K8" s="158" t="s">
        <v>919</v>
      </c>
      <c r="L8" s="158" t="s">
        <v>616</v>
      </c>
      <c r="M8" s="158" t="s">
        <v>526</v>
      </c>
      <c r="N8" s="158" t="s">
        <v>1061</v>
      </c>
      <c r="O8" s="158" t="s">
        <v>390</v>
      </c>
      <c r="P8" s="158" t="s">
        <v>1071</v>
      </c>
      <c r="Q8" s="158" t="s">
        <v>1219</v>
      </c>
    </row>
    <row r="9" spans="1:17" x14ac:dyDescent="0.35">
      <c r="A9" s="158" t="s">
        <v>612</v>
      </c>
      <c r="B9" s="159" t="s">
        <v>613</v>
      </c>
      <c r="C9" s="159" t="s">
        <v>614</v>
      </c>
      <c r="D9" s="158" t="s">
        <v>615</v>
      </c>
      <c r="E9" s="158" t="s">
        <v>551</v>
      </c>
      <c r="F9" s="158" t="s">
        <v>526</v>
      </c>
      <c r="G9" s="158" t="s">
        <v>616</v>
      </c>
      <c r="H9" s="158" t="s">
        <v>616</v>
      </c>
      <c r="I9" s="158" t="s">
        <v>624</v>
      </c>
      <c r="J9" s="159" t="s">
        <v>772</v>
      </c>
      <c r="K9" s="158" t="s">
        <v>920</v>
      </c>
      <c r="L9" s="158" t="s">
        <v>616</v>
      </c>
      <c r="M9" s="158" t="s">
        <v>526</v>
      </c>
      <c r="N9" s="158" t="s">
        <v>1061</v>
      </c>
      <c r="O9" s="158" t="s">
        <v>404</v>
      </c>
      <c r="P9" s="158" t="s">
        <v>1072</v>
      </c>
      <c r="Q9" s="158" t="s">
        <v>1220</v>
      </c>
    </row>
    <row r="10" spans="1:17" x14ac:dyDescent="0.35">
      <c r="A10" s="158" t="s">
        <v>612</v>
      </c>
      <c r="B10" s="159" t="s">
        <v>613</v>
      </c>
      <c r="C10" s="159" t="s">
        <v>614</v>
      </c>
      <c r="D10" s="158" t="s">
        <v>615</v>
      </c>
      <c r="E10" s="158" t="s">
        <v>551</v>
      </c>
      <c r="F10" s="158" t="s">
        <v>526</v>
      </c>
      <c r="G10" s="158" t="s">
        <v>616</v>
      </c>
      <c r="H10" s="158" t="s">
        <v>616</v>
      </c>
      <c r="I10" s="158" t="s">
        <v>625</v>
      </c>
      <c r="J10" s="159" t="s">
        <v>773</v>
      </c>
      <c r="K10" s="158" t="s">
        <v>921</v>
      </c>
      <c r="L10" s="158" t="s">
        <v>616</v>
      </c>
      <c r="M10" s="158" t="s">
        <v>526</v>
      </c>
      <c r="N10" s="158" t="s">
        <v>1061</v>
      </c>
      <c r="O10" s="158" t="s">
        <v>521</v>
      </c>
      <c r="P10" s="158" t="s">
        <v>1073</v>
      </c>
      <c r="Q10" s="158" t="s">
        <v>1221</v>
      </c>
    </row>
    <row r="11" spans="1:17" x14ac:dyDescent="0.35">
      <c r="A11" s="158" t="s">
        <v>612</v>
      </c>
      <c r="B11" s="159" t="s">
        <v>613</v>
      </c>
      <c r="C11" s="159" t="s">
        <v>614</v>
      </c>
      <c r="D11" s="158" t="s">
        <v>615</v>
      </c>
      <c r="E11" s="158" t="s">
        <v>551</v>
      </c>
      <c r="F11" s="158" t="s">
        <v>526</v>
      </c>
      <c r="G11" s="158" t="s">
        <v>616</v>
      </c>
      <c r="H11" s="158" t="s">
        <v>616</v>
      </c>
      <c r="I11" s="158" t="s">
        <v>626</v>
      </c>
      <c r="J11" s="159" t="s">
        <v>774</v>
      </c>
      <c r="K11" s="158" t="s">
        <v>922</v>
      </c>
      <c r="L11" s="158" t="s">
        <v>616</v>
      </c>
      <c r="M11" s="158" t="s">
        <v>526</v>
      </c>
      <c r="N11" s="158" t="s">
        <v>1061</v>
      </c>
      <c r="O11" s="158" t="s">
        <v>478</v>
      </c>
      <c r="P11" s="158" t="s">
        <v>1074</v>
      </c>
      <c r="Q11" s="158" t="s">
        <v>1222</v>
      </c>
    </row>
    <row r="12" spans="1:17" x14ac:dyDescent="0.35">
      <c r="A12" s="158" t="s">
        <v>612</v>
      </c>
      <c r="B12" s="159" t="s">
        <v>613</v>
      </c>
      <c r="C12" s="159" t="s">
        <v>614</v>
      </c>
      <c r="D12" s="158" t="s">
        <v>615</v>
      </c>
      <c r="E12" s="158" t="s">
        <v>551</v>
      </c>
      <c r="F12" s="158" t="s">
        <v>526</v>
      </c>
      <c r="G12" s="158" t="s">
        <v>616</v>
      </c>
      <c r="H12" s="158" t="s">
        <v>616</v>
      </c>
      <c r="I12" s="158" t="s">
        <v>627</v>
      </c>
      <c r="J12" s="159" t="s">
        <v>775</v>
      </c>
      <c r="K12" s="158" t="s">
        <v>923</v>
      </c>
      <c r="L12" s="158" t="s">
        <v>616</v>
      </c>
      <c r="M12" s="158" t="s">
        <v>526</v>
      </c>
      <c r="N12" s="158" t="s">
        <v>1061</v>
      </c>
      <c r="O12" s="158" t="s">
        <v>459</v>
      </c>
      <c r="P12" s="158" t="s">
        <v>1075</v>
      </c>
      <c r="Q12" s="158" t="s">
        <v>1223</v>
      </c>
    </row>
    <row r="13" spans="1:17" x14ac:dyDescent="0.35">
      <c r="A13" s="158" t="s">
        <v>612</v>
      </c>
      <c r="B13" s="159" t="s">
        <v>613</v>
      </c>
      <c r="C13" s="159" t="s">
        <v>614</v>
      </c>
      <c r="D13" s="158" t="s">
        <v>615</v>
      </c>
      <c r="E13" s="158" t="s">
        <v>551</v>
      </c>
      <c r="F13" s="158" t="s">
        <v>526</v>
      </c>
      <c r="G13" s="158" t="s">
        <v>616</v>
      </c>
      <c r="H13" s="158" t="s">
        <v>616</v>
      </c>
      <c r="I13" s="158" t="s">
        <v>628</v>
      </c>
      <c r="J13" s="159" t="s">
        <v>776</v>
      </c>
      <c r="K13" s="158" t="s">
        <v>924</v>
      </c>
      <c r="L13" s="158" t="s">
        <v>616</v>
      </c>
      <c r="M13" s="158" t="s">
        <v>526</v>
      </c>
      <c r="N13" s="158" t="s">
        <v>1061</v>
      </c>
      <c r="O13" s="158" t="s">
        <v>1062</v>
      </c>
      <c r="P13" s="158" t="s">
        <v>1076</v>
      </c>
      <c r="Q13" s="158" t="s">
        <v>1224</v>
      </c>
    </row>
    <row r="14" spans="1:17" x14ac:dyDescent="0.35">
      <c r="A14" s="158" t="s">
        <v>612</v>
      </c>
      <c r="B14" s="159" t="s">
        <v>613</v>
      </c>
      <c r="C14" s="159" t="s">
        <v>614</v>
      </c>
      <c r="D14" s="158" t="s">
        <v>615</v>
      </c>
      <c r="E14" s="158" t="s">
        <v>551</v>
      </c>
      <c r="F14" s="158" t="s">
        <v>526</v>
      </c>
      <c r="G14" s="158" t="s">
        <v>616</v>
      </c>
      <c r="H14" s="158" t="s">
        <v>616</v>
      </c>
      <c r="I14" s="158" t="s">
        <v>629</v>
      </c>
      <c r="J14" s="159" t="s">
        <v>777</v>
      </c>
      <c r="K14" s="158" t="s">
        <v>925</v>
      </c>
      <c r="L14" s="158" t="s">
        <v>616</v>
      </c>
      <c r="M14" s="158" t="s">
        <v>526</v>
      </c>
      <c r="N14" s="158" t="s">
        <v>1061</v>
      </c>
      <c r="O14" s="158" t="s">
        <v>434</v>
      </c>
      <c r="P14" s="158" t="s">
        <v>1077</v>
      </c>
      <c r="Q14" s="158" t="s">
        <v>1225</v>
      </c>
    </row>
    <row r="15" spans="1:17" x14ac:dyDescent="0.35">
      <c r="A15" s="158" t="s">
        <v>612</v>
      </c>
      <c r="B15" s="159" t="s">
        <v>613</v>
      </c>
      <c r="C15" s="159" t="s">
        <v>614</v>
      </c>
      <c r="D15" s="158" t="s">
        <v>615</v>
      </c>
      <c r="E15" s="158" t="s">
        <v>551</v>
      </c>
      <c r="F15" s="158" t="s">
        <v>526</v>
      </c>
      <c r="G15" s="158" t="s">
        <v>616</v>
      </c>
      <c r="H15" s="158" t="s">
        <v>616</v>
      </c>
      <c r="I15" s="158" t="s">
        <v>630</v>
      </c>
      <c r="J15" s="159" t="s">
        <v>778</v>
      </c>
      <c r="K15" s="158" t="s">
        <v>926</v>
      </c>
      <c r="L15" s="158" t="s">
        <v>616</v>
      </c>
      <c r="M15" s="158" t="s">
        <v>526</v>
      </c>
      <c r="N15" s="158" t="s">
        <v>1061</v>
      </c>
      <c r="O15" s="158" t="s">
        <v>430</v>
      </c>
      <c r="P15" s="158" t="s">
        <v>1078</v>
      </c>
      <c r="Q15" s="158" t="s">
        <v>1226</v>
      </c>
    </row>
    <row r="16" spans="1:17" x14ac:dyDescent="0.35">
      <c r="A16" s="158" t="s">
        <v>612</v>
      </c>
      <c r="B16" s="159" t="s">
        <v>613</v>
      </c>
      <c r="C16" s="159" t="s">
        <v>614</v>
      </c>
      <c r="D16" s="158" t="s">
        <v>615</v>
      </c>
      <c r="E16" s="158" t="s">
        <v>551</v>
      </c>
      <c r="F16" s="158" t="s">
        <v>526</v>
      </c>
      <c r="G16" s="158" t="s">
        <v>616</v>
      </c>
      <c r="H16" s="158" t="s">
        <v>616</v>
      </c>
      <c r="I16" s="158" t="s">
        <v>631</v>
      </c>
      <c r="J16" s="159" t="s">
        <v>779</v>
      </c>
      <c r="K16" s="158" t="s">
        <v>927</v>
      </c>
      <c r="L16" s="158" t="s">
        <v>616</v>
      </c>
      <c r="M16" s="158" t="s">
        <v>526</v>
      </c>
      <c r="N16" s="158" t="s">
        <v>1061</v>
      </c>
      <c r="O16" s="158" t="s">
        <v>496</v>
      </c>
      <c r="P16" s="158" t="s">
        <v>1079</v>
      </c>
      <c r="Q16" s="158" t="s">
        <v>1227</v>
      </c>
    </row>
    <row r="17" spans="1:17" x14ac:dyDescent="0.35">
      <c r="A17" s="158" t="s">
        <v>612</v>
      </c>
      <c r="B17" s="159" t="s">
        <v>613</v>
      </c>
      <c r="C17" s="159" t="s">
        <v>614</v>
      </c>
      <c r="D17" s="158" t="s">
        <v>615</v>
      </c>
      <c r="E17" s="158" t="s">
        <v>551</v>
      </c>
      <c r="F17" s="158" t="s">
        <v>526</v>
      </c>
      <c r="G17" s="158" t="s">
        <v>616</v>
      </c>
      <c r="H17" s="158" t="s">
        <v>616</v>
      </c>
      <c r="I17" s="158" t="s">
        <v>632</v>
      </c>
      <c r="J17" s="159" t="s">
        <v>780</v>
      </c>
      <c r="K17" s="158" t="s">
        <v>928</v>
      </c>
      <c r="L17" s="158" t="s">
        <v>616</v>
      </c>
      <c r="M17" s="158" t="s">
        <v>526</v>
      </c>
      <c r="N17" s="158" t="s">
        <v>1061</v>
      </c>
      <c r="O17" s="158" t="s">
        <v>414</v>
      </c>
      <c r="P17" s="158" t="s">
        <v>1080</v>
      </c>
      <c r="Q17" s="158" t="s">
        <v>1228</v>
      </c>
    </row>
    <row r="18" spans="1:17" x14ac:dyDescent="0.35">
      <c r="A18" s="158" t="s">
        <v>612</v>
      </c>
      <c r="B18" s="159" t="s">
        <v>613</v>
      </c>
      <c r="C18" s="159" t="s">
        <v>614</v>
      </c>
      <c r="D18" s="158" t="s">
        <v>615</v>
      </c>
      <c r="E18" s="158" t="s">
        <v>551</v>
      </c>
      <c r="F18" s="158" t="s">
        <v>526</v>
      </c>
      <c r="G18" s="158" t="s">
        <v>616</v>
      </c>
      <c r="H18" s="158" t="s">
        <v>616</v>
      </c>
      <c r="I18" s="158" t="s">
        <v>633</v>
      </c>
      <c r="J18" s="159" t="s">
        <v>781</v>
      </c>
      <c r="K18" s="158" t="s">
        <v>929</v>
      </c>
      <c r="L18" s="158" t="s">
        <v>616</v>
      </c>
      <c r="M18" s="158" t="s">
        <v>526</v>
      </c>
      <c r="N18" s="158" t="s">
        <v>1061</v>
      </c>
      <c r="O18" s="158" t="s">
        <v>487</v>
      </c>
      <c r="P18" s="158" t="s">
        <v>1081</v>
      </c>
      <c r="Q18" s="158" t="s">
        <v>1229</v>
      </c>
    </row>
    <row r="19" spans="1:17" x14ac:dyDescent="0.35">
      <c r="A19" s="158" t="s">
        <v>612</v>
      </c>
      <c r="B19" s="159" t="s">
        <v>613</v>
      </c>
      <c r="C19" s="159" t="s">
        <v>614</v>
      </c>
      <c r="D19" s="158" t="s">
        <v>615</v>
      </c>
      <c r="E19" s="158" t="s">
        <v>551</v>
      </c>
      <c r="F19" s="158" t="s">
        <v>526</v>
      </c>
      <c r="G19" s="158" t="s">
        <v>616</v>
      </c>
      <c r="H19" s="158" t="s">
        <v>616</v>
      </c>
      <c r="I19" s="158" t="s">
        <v>634</v>
      </c>
      <c r="J19" s="159" t="s">
        <v>782</v>
      </c>
      <c r="K19" s="158" t="s">
        <v>930</v>
      </c>
      <c r="L19" s="158" t="s">
        <v>616</v>
      </c>
      <c r="M19" s="158" t="s">
        <v>526</v>
      </c>
      <c r="N19" s="158" t="s">
        <v>1061</v>
      </c>
      <c r="O19" s="158" t="s">
        <v>422</v>
      </c>
      <c r="P19" s="158" t="s">
        <v>1082</v>
      </c>
      <c r="Q19" s="158" t="s">
        <v>1230</v>
      </c>
    </row>
    <row r="20" spans="1:17" x14ac:dyDescent="0.35">
      <c r="A20" s="158" t="s">
        <v>612</v>
      </c>
      <c r="B20" s="159" t="s">
        <v>613</v>
      </c>
      <c r="C20" s="159" t="s">
        <v>614</v>
      </c>
      <c r="D20" s="158" t="s">
        <v>615</v>
      </c>
      <c r="E20" s="158" t="s">
        <v>551</v>
      </c>
      <c r="F20" s="158" t="s">
        <v>526</v>
      </c>
      <c r="G20" s="158" t="s">
        <v>616</v>
      </c>
      <c r="H20" s="158" t="s">
        <v>616</v>
      </c>
      <c r="I20" s="158" t="s">
        <v>635</v>
      </c>
      <c r="J20" s="159" t="s">
        <v>783</v>
      </c>
      <c r="K20" s="158" t="s">
        <v>931</v>
      </c>
      <c r="L20" s="158" t="s">
        <v>616</v>
      </c>
      <c r="M20" s="158" t="s">
        <v>526</v>
      </c>
      <c r="N20" s="158" t="s">
        <v>1061</v>
      </c>
      <c r="O20" s="158" t="s">
        <v>395</v>
      </c>
      <c r="P20" s="158" t="s">
        <v>1083</v>
      </c>
      <c r="Q20" s="158" t="s">
        <v>1231</v>
      </c>
    </row>
    <row r="21" spans="1:17" x14ac:dyDescent="0.35">
      <c r="A21" s="158" t="s">
        <v>612</v>
      </c>
      <c r="B21" s="159" t="s">
        <v>613</v>
      </c>
      <c r="C21" s="159" t="s">
        <v>614</v>
      </c>
      <c r="D21" s="158" t="s">
        <v>615</v>
      </c>
      <c r="E21" s="158" t="s">
        <v>551</v>
      </c>
      <c r="F21" s="158" t="s">
        <v>526</v>
      </c>
      <c r="G21" s="158" t="s">
        <v>616</v>
      </c>
      <c r="H21" s="158" t="s">
        <v>616</v>
      </c>
      <c r="I21" s="158" t="s">
        <v>636</v>
      </c>
      <c r="J21" s="159" t="s">
        <v>784</v>
      </c>
      <c r="K21" s="158" t="s">
        <v>932</v>
      </c>
      <c r="L21" s="158" t="s">
        <v>616</v>
      </c>
      <c r="M21" s="158" t="s">
        <v>526</v>
      </c>
      <c r="N21" s="158" t="s">
        <v>1061</v>
      </c>
      <c r="O21" s="158" t="s">
        <v>519</v>
      </c>
      <c r="P21" s="158" t="s">
        <v>1084</v>
      </c>
      <c r="Q21" s="158" t="s">
        <v>1232</v>
      </c>
    </row>
    <row r="22" spans="1:17" x14ac:dyDescent="0.35">
      <c r="A22" s="158" t="s">
        <v>612</v>
      </c>
      <c r="B22" s="159" t="s">
        <v>613</v>
      </c>
      <c r="C22" s="159" t="s">
        <v>614</v>
      </c>
      <c r="D22" s="158" t="s">
        <v>615</v>
      </c>
      <c r="E22" s="158" t="s">
        <v>551</v>
      </c>
      <c r="F22" s="158" t="s">
        <v>526</v>
      </c>
      <c r="G22" s="158" t="s">
        <v>616</v>
      </c>
      <c r="H22" s="158" t="s">
        <v>616</v>
      </c>
      <c r="I22" s="158" t="s">
        <v>637</v>
      </c>
      <c r="J22" s="159" t="s">
        <v>785</v>
      </c>
      <c r="K22" s="158" t="s">
        <v>933</v>
      </c>
      <c r="L22" s="158" t="s">
        <v>616</v>
      </c>
      <c r="M22" s="158" t="s">
        <v>526</v>
      </c>
      <c r="N22" s="158" t="s">
        <v>1061</v>
      </c>
      <c r="O22" s="158" t="s">
        <v>428</v>
      </c>
      <c r="P22" s="158" t="s">
        <v>1085</v>
      </c>
      <c r="Q22" s="158" t="s">
        <v>1233</v>
      </c>
    </row>
    <row r="23" spans="1:17" x14ac:dyDescent="0.35">
      <c r="A23" s="158" t="s">
        <v>612</v>
      </c>
      <c r="B23" s="159" t="s">
        <v>613</v>
      </c>
      <c r="C23" s="159" t="s">
        <v>614</v>
      </c>
      <c r="D23" s="158" t="s">
        <v>615</v>
      </c>
      <c r="E23" s="158" t="s">
        <v>551</v>
      </c>
      <c r="F23" s="158" t="s">
        <v>526</v>
      </c>
      <c r="G23" s="158" t="s">
        <v>616</v>
      </c>
      <c r="H23" s="158" t="s">
        <v>616</v>
      </c>
      <c r="I23" s="158" t="s">
        <v>638</v>
      </c>
      <c r="J23" s="159" t="s">
        <v>786</v>
      </c>
      <c r="K23" s="158" t="s">
        <v>934</v>
      </c>
      <c r="L23" s="158" t="s">
        <v>616</v>
      </c>
      <c r="M23" s="158" t="s">
        <v>526</v>
      </c>
      <c r="N23" s="158" t="s">
        <v>1061</v>
      </c>
      <c r="O23" s="158" t="s">
        <v>493</v>
      </c>
      <c r="P23" s="158" t="s">
        <v>1086</v>
      </c>
      <c r="Q23" s="158" t="s">
        <v>1234</v>
      </c>
    </row>
    <row r="24" spans="1:17" x14ac:dyDescent="0.35">
      <c r="A24" s="158" t="s">
        <v>612</v>
      </c>
      <c r="B24" s="159" t="s">
        <v>613</v>
      </c>
      <c r="C24" s="159" t="s">
        <v>614</v>
      </c>
      <c r="D24" s="158" t="s">
        <v>615</v>
      </c>
      <c r="E24" s="158" t="s">
        <v>551</v>
      </c>
      <c r="F24" s="158" t="s">
        <v>526</v>
      </c>
      <c r="G24" s="158" t="s">
        <v>616</v>
      </c>
      <c r="H24" s="158" t="s">
        <v>616</v>
      </c>
      <c r="I24" s="158" t="s">
        <v>639</v>
      </c>
      <c r="J24" s="159" t="s">
        <v>787</v>
      </c>
      <c r="K24" s="158" t="s">
        <v>935</v>
      </c>
      <c r="L24" s="158" t="s">
        <v>616</v>
      </c>
      <c r="M24" s="158" t="s">
        <v>526</v>
      </c>
      <c r="N24" s="158" t="s">
        <v>1061</v>
      </c>
      <c r="O24" s="158" t="s">
        <v>501</v>
      </c>
      <c r="P24" s="158" t="s">
        <v>1087</v>
      </c>
      <c r="Q24" s="158" t="s">
        <v>1235</v>
      </c>
    </row>
    <row r="25" spans="1:17" x14ac:dyDescent="0.35">
      <c r="A25" s="158" t="s">
        <v>612</v>
      </c>
      <c r="B25" s="159" t="s">
        <v>613</v>
      </c>
      <c r="C25" s="159" t="s">
        <v>614</v>
      </c>
      <c r="D25" s="158" t="s">
        <v>615</v>
      </c>
      <c r="E25" s="158" t="s">
        <v>551</v>
      </c>
      <c r="F25" s="158" t="s">
        <v>526</v>
      </c>
      <c r="G25" s="158" t="s">
        <v>616</v>
      </c>
      <c r="H25" s="158" t="s">
        <v>616</v>
      </c>
      <c r="I25" s="158" t="s">
        <v>640</v>
      </c>
      <c r="J25" s="159" t="s">
        <v>788</v>
      </c>
      <c r="K25" s="158" t="s">
        <v>936</v>
      </c>
      <c r="L25" s="158" t="s">
        <v>616</v>
      </c>
      <c r="M25" s="158" t="s">
        <v>526</v>
      </c>
      <c r="N25" s="158" t="s">
        <v>1061</v>
      </c>
      <c r="O25" s="158" t="s">
        <v>516</v>
      </c>
      <c r="P25" s="158" t="s">
        <v>1088</v>
      </c>
      <c r="Q25" s="158" t="s">
        <v>1236</v>
      </c>
    </row>
    <row r="26" spans="1:17" x14ac:dyDescent="0.35">
      <c r="A26" s="158" t="s">
        <v>612</v>
      </c>
      <c r="B26" s="159" t="s">
        <v>613</v>
      </c>
      <c r="C26" s="159" t="s">
        <v>614</v>
      </c>
      <c r="D26" s="158" t="s">
        <v>615</v>
      </c>
      <c r="E26" s="158" t="s">
        <v>551</v>
      </c>
      <c r="F26" s="158" t="s">
        <v>526</v>
      </c>
      <c r="G26" s="158" t="s">
        <v>616</v>
      </c>
      <c r="H26" s="158" t="s">
        <v>616</v>
      </c>
      <c r="I26" s="158" t="s">
        <v>641</v>
      </c>
      <c r="J26" s="159" t="s">
        <v>789</v>
      </c>
      <c r="K26" s="158" t="s">
        <v>937</v>
      </c>
      <c r="L26" s="158" t="s">
        <v>616</v>
      </c>
      <c r="M26" s="158" t="s">
        <v>526</v>
      </c>
      <c r="N26" s="158" t="s">
        <v>1061</v>
      </c>
      <c r="O26" s="158" t="s">
        <v>441</v>
      </c>
      <c r="P26" s="158" t="s">
        <v>1089</v>
      </c>
      <c r="Q26" s="158" t="s">
        <v>1237</v>
      </c>
    </row>
    <row r="27" spans="1:17" x14ac:dyDescent="0.35">
      <c r="A27" s="158" t="s">
        <v>612</v>
      </c>
      <c r="B27" s="159" t="s">
        <v>613</v>
      </c>
      <c r="C27" s="159" t="s">
        <v>614</v>
      </c>
      <c r="D27" s="158" t="s">
        <v>615</v>
      </c>
      <c r="E27" s="158" t="s">
        <v>551</v>
      </c>
      <c r="F27" s="158" t="s">
        <v>526</v>
      </c>
      <c r="G27" s="158" t="s">
        <v>616</v>
      </c>
      <c r="H27" s="158" t="s">
        <v>616</v>
      </c>
      <c r="I27" s="158" t="s">
        <v>642</v>
      </c>
      <c r="J27" s="159" t="s">
        <v>790</v>
      </c>
      <c r="K27" s="158" t="s">
        <v>938</v>
      </c>
      <c r="L27" s="158" t="s">
        <v>616</v>
      </c>
      <c r="M27" s="158" t="s">
        <v>526</v>
      </c>
      <c r="N27" s="158" t="s">
        <v>1061</v>
      </c>
      <c r="O27" s="158" t="s">
        <v>494</v>
      </c>
      <c r="P27" s="158" t="s">
        <v>1090</v>
      </c>
      <c r="Q27" s="158" t="s">
        <v>1238</v>
      </c>
    </row>
    <row r="28" spans="1:17" x14ac:dyDescent="0.35">
      <c r="A28" s="158" t="s">
        <v>612</v>
      </c>
      <c r="B28" s="159" t="s">
        <v>613</v>
      </c>
      <c r="C28" s="159" t="s">
        <v>614</v>
      </c>
      <c r="D28" s="158" t="s">
        <v>615</v>
      </c>
      <c r="E28" s="158" t="s">
        <v>551</v>
      </c>
      <c r="F28" s="158" t="s">
        <v>526</v>
      </c>
      <c r="G28" s="158" t="s">
        <v>616</v>
      </c>
      <c r="H28" s="158" t="s">
        <v>616</v>
      </c>
      <c r="I28" s="158" t="s">
        <v>643</v>
      </c>
      <c r="J28" s="159" t="s">
        <v>791</v>
      </c>
      <c r="K28" s="158" t="s">
        <v>939</v>
      </c>
      <c r="L28" s="158" t="s">
        <v>616</v>
      </c>
      <c r="M28" s="158" t="s">
        <v>526</v>
      </c>
      <c r="N28" s="158" t="s">
        <v>1061</v>
      </c>
      <c r="O28" s="158" t="s">
        <v>439</v>
      </c>
      <c r="P28" s="158" t="s">
        <v>1091</v>
      </c>
      <c r="Q28" s="158" t="s">
        <v>1239</v>
      </c>
    </row>
    <row r="29" spans="1:17" x14ac:dyDescent="0.35">
      <c r="A29" s="158" t="s">
        <v>612</v>
      </c>
      <c r="B29" s="159" t="s">
        <v>613</v>
      </c>
      <c r="C29" s="159" t="s">
        <v>614</v>
      </c>
      <c r="D29" s="158" t="s">
        <v>615</v>
      </c>
      <c r="E29" s="158" t="s">
        <v>551</v>
      </c>
      <c r="F29" s="158" t="s">
        <v>526</v>
      </c>
      <c r="G29" s="158" t="s">
        <v>616</v>
      </c>
      <c r="H29" s="158" t="s">
        <v>616</v>
      </c>
      <c r="I29" s="158" t="s">
        <v>644</v>
      </c>
      <c r="J29" s="159" t="s">
        <v>792</v>
      </c>
      <c r="K29" s="158" t="s">
        <v>940</v>
      </c>
      <c r="L29" s="158" t="s">
        <v>616</v>
      </c>
      <c r="M29" s="158" t="s">
        <v>526</v>
      </c>
      <c r="N29" s="158" t="s">
        <v>1061</v>
      </c>
      <c r="O29" s="158" t="s">
        <v>452</v>
      </c>
      <c r="P29" s="158" t="s">
        <v>1092</v>
      </c>
      <c r="Q29" s="158" t="s">
        <v>1240</v>
      </c>
    </row>
    <row r="30" spans="1:17" x14ac:dyDescent="0.35">
      <c r="A30" s="158" t="s">
        <v>612</v>
      </c>
      <c r="B30" s="159" t="s">
        <v>613</v>
      </c>
      <c r="C30" s="159" t="s">
        <v>614</v>
      </c>
      <c r="D30" s="158" t="s">
        <v>615</v>
      </c>
      <c r="E30" s="158" t="s">
        <v>551</v>
      </c>
      <c r="F30" s="158" t="s">
        <v>526</v>
      </c>
      <c r="G30" s="158" t="s">
        <v>616</v>
      </c>
      <c r="H30" s="158" t="s">
        <v>616</v>
      </c>
      <c r="I30" s="158" t="s">
        <v>645</v>
      </c>
      <c r="J30" s="159" t="s">
        <v>793</v>
      </c>
      <c r="K30" s="158" t="s">
        <v>941</v>
      </c>
      <c r="L30" s="158" t="s">
        <v>616</v>
      </c>
      <c r="M30" s="158" t="s">
        <v>526</v>
      </c>
      <c r="N30" s="158" t="s">
        <v>1061</v>
      </c>
      <c r="O30" s="158" t="s">
        <v>479</v>
      </c>
      <c r="P30" s="158" t="s">
        <v>1093</v>
      </c>
      <c r="Q30" s="158" t="s">
        <v>1241</v>
      </c>
    </row>
    <row r="31" spans="1:17" x14ac:dyDescent="0.35">
      <c r="A31" s="158" t="s">
        <v>612</v>
      </c>
      <c r="B31" s="159" t="s">
        <v>613</v>
      </c>
      <c r="C31" s="159" t="s">
        <v>614</v>
      </c>
      <c r="D31" s="158" t="s">
        <v>615</v>
      </c>
      <c r="E31" s="158" t="s">
        <v>551</v>
      </c>
      <c r="F31" s="158" t="s">
        <v>526</v>
      </c>
      <c r="G31" s="158" t="s">
        <v>616</v>
      </c>
      <c r="H31" s="158" t="s">
        <v>616</v>
      </c>
      <c r="I31" s="158" t="s">
        <v>646</v>
      </c>
      <c r="J31" s="159" t="s">
        <v>794</v>
      </c>
      <c r="K31" s="158" t="s">
        <v>942</v>
      </c>
      <c r="L31" s="158" t="s">
        <v>616</v>
      </c>
      <c r="M31" s="158" t="s">
        <v>526</v>
      </c>
      <c r="N31" s="158" t="s">
        <v>1061</v>
      </c>
      <c r="O31" s="158" t="s">
        <v>461</v>
      </c>
      <c r="P31" s="158" t="s">
        <v>1094</v>
      </c>
      <c r="Q31" s="158" t="s">
        <v>1242</v>
      </c>
    </row>
    <row r="32" spans="1:17" x14ac:dyDescent="0.35">
      <c r="A32" s="158" t="s">
        <v>612</v>
      </c>
      <c r="B32" s="159" t="s">
        <v>613</v>
      </c>
      <c r="C32" s="159" t="s">
        <v>614</v>
      </c>
      <c r="D32" s="158" t="s">
        <v>615</v>
      </c>
      <c r="E32" s="158" t="s">
        <v>551</v>
      </c>
      <c r="F32" s="158" t="s">
        <v>526</v>
      </c>
      <c r="G32" s="158" t="s">
        <v>616</v>
      </c>
      <c r="H32" s="158" t="s">
        <v>616</v>
      </c>
      <c r="I32" s="158" t="s">
        <v>647</v>
      </c>
      <c r="J32" s="159" t="s">
        <v>795</v>
      </c>
      <c r="K32" s="158" t="s">
        <v>943</v>
      </c>
      <c r="L32" s="158" t="s">
        <v>616</v>
      </c>
      <c r="M32" s="158" t="s">
        <v>526</v>
      </c>
      <c r="N32" s="158" t="s">
        <v>1061</v>
      </c>
      <c r="O32" s="158" t="s">
        <v>497</v>
      </c>
      <c r="P32" s="158" t="s">
        <v>1095</v>
      </c>
      <c r="Q32" s="158" t="s">
        <v>1243</v>
      </c>
    </row>
    <row r="33" spans="1:17" x14ac:dyDescent="0.35">
      <c r="A33" s="158" t="s">
        <v>612</v>
      </c>
      <c r="B33" s="159" t="s">
        <v>613</v>
      </c>
      <c r="C33" s="159" t="s">
        <v>614</v>
      </c>
      <c r="D33" s="158" t="s">
        <v>615</v>
      </c>
      <c r="E33" s="158" t="s">
        <v>551</v>
      </c>
      <c r="F33" s="158" t="s">
        <v>526</v>
      </c>
      <c r="G33" s="158" t="s">
        <v>616</v>
      </c>
      <c r="H33" s="158" t="s">
        <v>616</v>
      </c>
      <c r="I33" s="158" t="s">
        <v>648</v>
      </c>
      <c r="J33" s="159" t="s">
        <v>796</v>
      </c>
      <c r="K33" s="158" t="s">
        <v>944</v>
      </c>
      <c r="L33" s="158" t="s">
        <v>616</v>
      </c>
      <c r="M33" s="158" t="s">
        <v>526</v>
      </c>
      <c r="N33" s="158" t="s">
        <v>1061</v>
      </c>
      <c r="O33" s="158" t="s">
        <v>475</v>
      </c>
      <c r="P33" s="158" t="s">
        <v>1096</v>
      </c>
      <c r="Q33" s="158" t="s">
        <v>1244</v>
      </c>
    </row>
    <row r="34" spans="1:17" x14ac:dyDescent="0.35">
      <c r="A34" s="158" t="s">
        <v>612</v>
      </c>
      <c r="B34" s="159" t="s">
        <v>613</v>
      </c>
      <c r="C34" s="159" t="s">
        <v>614</v>
      </c>
      <c r="D34" s="158" t="s">
        <v>615</v>
      </c>
      <c r="E34" s="158" t="s">
        <v>551</v>
      </c>
      <c r="F34" s="158" t="s">
        <v>526</v>
      </c>
      <c r="G34" s="158" t="s">
        <v>616</v>
      </c>
      <c r="H34" s="158" t="s">
        <v>616</v>
      </c>
      <c r="I34" s="158" t="s">
        <v>649</v>
      </c>
      <c r="J34" s="159" t="s">
        <v>797</v>
      </c>
      <c r="K34" s="158" t="s">
        <v>945</v>
      </c>
      <c r="L34" s="158" t="s">
        <v>616</v>
      </c>
      <c r="M34" s="158" t="s">
        <v>526</v>
      </c>
      <c r="N34" s="158" t="s">
        <v>1061</v>
      </c>
      <c r="O34" s="158" t="s">
        <v>467</v>
      </c>
      <c r="P34" s="158" t="s">
        <v>1097</v>
      </c>
      <c r="Q34" s="158" t="s">
        <v>1245</v>
      </c>
    </row>
    <row r="35" spans="1:17" x14ac:dyDescent="0.35">
      <c r="A35" s="158" t="s">
        <v>612</v>
      </c>
      <c r="B35" s="159" t="s">
        <v>613</v>
      </c>
      <c r="C35" s="159" t="s">
        <v>614</v>
      </c>
      <c r="D35" s="158" t="s">
        <v>615</v>
      </c>
      <c r="E35" s="158" t="s">
        <v>551</v>
      </c>
      <c r="F35" s="158" t="s">
        <v>526</v>
      </c>
      <c r="G35" s="158" t="s">
        <v>616</v>
      </c>
      <c r="H35" s="158" t="s">
        <v>616</v>
      </c>
      <c r="I35" s="158" t="s">
        <v>650</v>
      </c>
      <c r="J35" s="159" t="s">
        <v>798</v>
      </c>
      <c r="K35" s="158" t="s">
        <v>946</v>
      </c>
      <c r="L35" s="158" t="s">
        <v>616</v>
      </c>
      <c r="M35" s="158" t="s">
        <v>526</v>
      </c>
      <c r="N35" s="158" t="s">
        <v>1061</v>
      </c>
      <c r="O35" s="158" t="s">
        <v>442</v>
      </c>
      <c r="P35" s="158" t="s">
        <v>1098</v>
      </c>
      <c r="Q35" s="158" t="s">
        <v>1246</v>
      </c>
    </row>
    <row r="36" spans="1:17" x14ac:dyDescent="0.35">
      <c r="A36" s="158" t="s">
        <v>612</v>
      </c>
      <c r="B36" s="159" t="s">
        <v>613</v>
      </c>
      <c r="C36" s="159" t="s">
        <v>614</v>
      </c>
      <c r="D36" s="158" t="s">
        <v>615</v>
      </c>
      <c r="E36" s="158" t="s">
        <v>551</v>
      </c>
      <c r="F36" s="158" t="s">
        <v>526</v>
      </c>
      <c r="G36" s="158" t="s">
        <v>616</v>
      </c>
      <c r="H36" s="158" t="s">
        <v>616</v>
      </c>
      <c r="I36" s="158" t="s">
        <v>651</v>
      </c>
      <c r="J36" s="159" t="s">
        <v>799</v>
      </c>
      <c r="K36" s="158" t="s">
        <v>947</v>
      </c>
      <c r="L36" s="158" t="s">
        <v>616</v>
      </c>
      <c r="M36" s="158" t="s">
        <v>526</v>
      </c>
      <c r="N36" s="158" t="s">
        <v>1061</v>
      </c>
      <c r="O36" s="158" t="s">
        <v>460</v>
      </c>
      <c r="P36" s="158" t="s">
        <v>1099</v>
      </c>
      <c r="Q36" s="158" t="s">
        <v>1247</v>
      </c>
    </row>
    <row r="37" spans="1:17" x14ac:dyDescent="0.35">
      <c r="A37" s="158" t="s">
        <v>612</v>
      </c>
      <c r="B37" s="159" t="s">
        <v>613</v>
      </c>
      <c r="C37" s="159" t="s">
        <v>614</v>
      </c>
      <c r="D37" s="158" t="s">
        <v>615</v>
      </c>
      <c r="E37" s="158" t="s">
        <v>551</v>
      </c>
      <c r="F37" s="158" t="s">
        <v>526</v>
      </c>
      <c r="G37" s="158" t="s">
        <v>616</v>
      </c>
      <c r="H37" s="158" t="s">
        <v>616</v>
      </c>
      <c r="I37" s="158" t="s">
        <v>652</v>
      </c>
      <c r="J37" s="159" t="s">
        <v>800</v>
      </c>
      <c r="K37" s="158" t="s">
        <v>948</v>
      </c>
      <c r="L37" s="158" t="s">
        <v>616</v>
      </c>
      <c r="M37" s="158" t="s">
        <v>526</v>
      </c>
      <c r="N37" s="158" t="s">
        <v>1061</v>
      </c>
      <c r="O37" s="158" t="s">
        <v>473</v>
      </c>
      <c r="P37" s="158" t="s">
        <v>1100</v>
      </c>
      <c r="Q37" s="158" t="s">
        <v>1248</v>
      </c>
    </row>
    <row r="38" spans="1:17" x14ac:dyDescent="0.35">
      <c r="A38" s="158" t="s">
        <v>612</v>
      </c>
      <c r="B38" s="159" t="s">
        <v>613</v>
      </c>
      <c r="C38" s="159" t="s">
        <v>614</v>
      </c>
      <c r="D38" s="158" t="s">
        <v>615</v>
      </c>
      <c r="E38" s="158" t="s">
        <v>551</v>
      </c>
      <c r="F38" s="158" t="s">
        <v>526</v>
      </c>
      <c r="G38" s="158" t="s">
        <v>616</v>
      </c>
      <c r="H38" s="158" t="s">
        <v>616</v>
      </c>
      <c r="I38" s="158" t="s">
        <v>653</v>
      </c>
      <c r="J38" s="159" t="s">
        <v>801</v>
      </c>
      <c r="K38" s="158" t="s">
        <v>949</v>
      </c>
      <c r="L38" s="158" t="s">
        <v>616</v>
      </c>
      <c r="M38" s="158" t="s">
        <v>526</v>
      </c>
      <c r="N38" s="158" t="s">
        <v>1061</v>
      </c>
      <c r="O38" s="158" t="s">
        <v>509</v>
      </c>
      <c r="P38" s="158" t="s">
        <v>1101</v>
      </c>
      <c r="Q38" s="158" t="s">
        <v>1249</v>
      </c>
    </row>
    <row r="39" spans="1:17" x14ac:dyDescent="0.35">
      <c r="A39" s="158" t="s">
        <v>612</v>
      </c>
      <c r="B39" s="159" t="s">
        <v>613</v>
      </c>
      <c r="C39" s="159" t="s">
        <v>614</v>
      </c>
      <c r="D39" s="158" t="s">
        <v>615</v>
      </c>
      <c r="E39" s="158" t="s">
        <v>551</v>
      </c>
      <c r="F39" s="158" t="s">
        <v>526</v>
      </c>
      <c r="G39" s="158" t="s">
        <v>616</v>
      </c>
      <c r="H39" s="158" t="s">
        <v>616</v>
      </c>
      <c r="I39" s="158" t="s">
        <v>654</v>
      </c>
      <c r="J39" s="159" t="s">
        <v>802</v>
      </c>
      <c r="K39" s="158" t="s">
        <v>950</v>
      </c>
      <c r="L39" s="158" t="s">
        <v>616</v>
      </c>
      <c r="M39" s="158" t="s">
        <v>526</v>
      </c>
      <c r="N39" s="158" t="s">
        <v>1061</v>
      </c>
      <c r="O39" s="158" t="s">
        <v>482</v>
      </c>
      <c r="P39" s="158" t="s">
        <v>1102</v>
      </c>
      <c r="Q39" s="158" t="s">
        <v>1250</v>
      </c>
    </row>
    <row r="40" spans="1:17" x14ac:dyDescent="0.35">
      <c r="A40" s="158" t="s">
        <v>612</v>
      </c>
      <c r="B40" s="159" t="s">
        <v>613</v>
      </c>
      <c r="C40" s="159" t="s">
        <v>614</v>
      </c>
      <c r="D40" s="158" t="s">
        <v>615</v>
      </c>
      <c r="E40" s="158" t="s">
        <v>551</v>
      </c>
      <c r="F40" s="158" t="s">
        <v>526</v>
      </c>
      <c r="G40" s="158" t="s">
        <v>616</v>
      </c>
      <c r="H40" s="158" t="s">
        <v>616</v>
      </c>
      <c r="I40" s="158" t="s">
        <v>655</v>
      </c>
      <c r="J40" s="159" t="s">
        <v>803</v>
      </c>
      <c r="K40" s="158" t="s">
        <v>951</v>
      </c>
      <c r="L40" s="158" t="s">
        <v>616</v>
      </c>
      <c r="M40" s="158" t="s">
        <v>526</v>
      </c>
      <c r="N40" s="158" t="s">
        <v>1061</v>
      </c>
      <c r="O40" s="158" t="s">
        <v>385</v>
      </c>
      <c r="P40" s="158" t="s">
        <v>1103</v>
      </c>
      <c r="Q40" s="158" t="s">
        <v>1251</v>
      </c>
    </row>
    <row r="41" spans="1:17" x14ac:dyDescent="0.35">
      <c r="A41" s="158" t="s">
        <v>612</v>
      </c>
      <c r="B41" s="159" t="s">
        <v>613</v>
      </c>
      <c r="C41" s="159" t="s">
        <v>614</v>
      </c>
      <c r="D41" s="158" t="s">
        <v>615</v>
      </c>
      <c r="E41" s="158" t="s">
        <v>551</v>
      </c>
      <c r="F41" s="158" t="s">
        <v>526</v>
      </c>
      <c r="G41" s="158" t="s">
        <v>616</v>
      </c>
      <c r="H41" s="158" t="s">
        <v>616</v>
      </c>
      <c r="I41" s="158" t="s">
        <v>656</v>
      </c>
      <c r="J41" s="159" t="s">
        <v>804</v>
      </c>
      <c r="K41" s="158" t="s">
        <v>952</v>
      </c>
      <c r="L41" s="158" t="s">
        <v>616</v>
      </c>
      <c r="M41" s="158" t="s">
        <v>526</v>
      </c>
      <c r="N41" s="158" t="s">
        <v>1061</v>
      </c>
      <c r="O41" s="158" t="s">
        <v>440</v>
      </c>
      <c r="P41" s="158" t="s">
        <v>1104</v>
      </c>
      <c r="Q41" s="158" t="s">
        <v>1252</v>
      </c>
    </row>
    <row r="42" spans="1:17" x14ac:dyDescent="0.35">
      <c r="A42" s="158" t="s">
        <v>612</v>
      </c>
      <c r="B42" s="159" t="s">
        <v>613</v>
      </c>
      <c r="C42" s="159" t="s">
        <v>614</v>
      </c>
      <c r="D42" s="158" t="s">
        <v>615</v>
      </c>
      <c r="E42" s="158" t="s">
        <v>551</v>
      </c>
      <c r="F42" s="158" t="s">
        <v>526</v>
      </c>
      <c r="G42" s="158" t="s">
        <v>616</v>
      </c>
      <c r="H42" s="158" t="s">
        <v>616</v>
      </c>
      <c r="I42" s="158" t="s">
        <v>657</v>
      </c>
      <c r="J42" s="159" t="s">
        <v>805</v>
      </c>
      <c r="K42" s="158" t="s">
        <v>953</v>
      </c>
      <c r="L42" s="158" t="s">
        <v>616</v>
      </c>
      <c r="M42" s="158" t="s">
        <v>526</v>
      </c>
      <c r="N42" s="158" t="s">
        <v>1061</v>
      </c>
      <c r="O42" s="158" t="s">
        <v>512</v>
      </c>
      <c r="P42" s="158" t="s">
        <v>1105</v>
      </c>
      <c r="Q42" s="158" t="s">
        <v>1253</v>
      </c>
    </row>
    <row r="43" spans="1:17" x14ac:dyDescent="0.35">
      <c r="A43" s="158" t="s">
        <v>612</v>
      </c>
      <c r="B43" s="159" t="s">
        <v>613</v>
      </c>
      <c r="C43" s="159" t="s">
        <v>614</v>
      </c>
      <c r="D43" s="158" t="s">
        <v>615</v>
      </c>
      <c r="E43" s="158" t="s">
        <v>551</v>
      </c>
      <c r="F43" s="158" t="s">
        <v>526</v>
      </c>
      <c r="G43" s="158" t="s">
        <v>616</v>
      </c>
      <c r="H43" s="158" t="s">
        <v>616</v>
      </c>
      <c r="I43" s="158" t="s">
        <v>658</v>
      </c>
      <c r="J43" s="159" t="s">
        <v>806</v>
      </c>
      <c r="K43" s="158" t="s">
        <v>954</v>
      </c>
      <c r="L43" s="158" t="s">
        <v>616</v>
      </c>
      <c r="M43" s="158" t="s">
        <v>526</v>
      </c>
      <c r="N43" s="158" t="s">
        <v>1061</v>
      </c>
      <c r="O43" s="158" t="s">
        <v>423</v>
      </c>
      <c r="P43" s="158" t="s">
        <v>1106</v>
      </c>
      <c r="Q43" s="158" t="s">
        <v>1254</v>
      </c>
    </row>
    <row r="44" spans="1:17" x14ac:dyDescent="0.35">
      <c r="A44" s="158" t="s">
        <v>612</v>
      </c>
      <c r="B44" s="159" t="s">
        <v>613</v>
      </c>
      <c r="C44" s="159" t="s">
        <v>614</v>
      </c>
      <c r="D44" s="158" t="s">
        <v>615</v>
      </c>
      <c r="E44" s="158" t="s">
        <v>551</v>
      </c>
      <c r="F44" s="158" t="s">
        <v>526</v>
      </c>
      <c r="G44" s="158" t="s">
        <v>616</v>
      </c>
      <c r="H44" s="158" t="s">
        <v>616</v>
      </c>
      <c r="I44" s="158" t="s">
        <v>659</v>
      </c>
      <c r="J44" s="159" t="s">
        <v>807</v>
      </c>
      <c r="K44" s="158" t="s">
        <v>955</v>
      </c>
      <c r="L44" s="158" t="s">
        <v>616</v>
      </c>
      <c r="M44" s="158" t="s">
        <v>526</v>
      </c>
      <c r="N44" s="158" t="s">
        <v>1061</v>
      </c>
      <c r="O44" s="158" t="s">
        <v>455</v>
      </c>
      <c r="P44" s="158" t="s">
        <v>1107</v>
      </c>
      <c r="Q44" s="158" t="s">
        <v>1255</v>
      </c>
    </row>
    <row r="45" spans="1:17" x14ac:dyDescent="0.35">
      <c r="A45" s="158" t="s">
        <v>612</v>
      </c>
      <c r="B45" s="159" t="s">
        <v>613</v>
      </c>
      <c r="C45" s="159" t="s">
        <v>614</v>
      </c>
      <c r="D45" s="158" t="s">
        <v>615</v>
      </c>
      <c r="E45" s="158" t="s">
        <v>551</v>
      </c>
      <c r="F45" s="158" t="s">
        <v>526</v>
      </c>
      <c r="G45" s="158" t="s">
        <v>616</v>
      </c>
      <c r="H45" s="158" t="s">
        <v>616</v>
      </c>
      <c r="I45" s="158" t="s">
        <v>660</v>
      </c>
      <c r="J45" s="159" t="s">
        <v>808</v>
      </c>
      <c r="K45" s="158" t="s">
        <v>956</v>
      </c>
      <c r="L45" s="158" t="s">
        <v>616</v>
      </c>
      <c r="M45" s="158" t="s">
        <v>526</v>
      </c>
      <c r="N45" s="158" t="s">
        <v>1061</v>
      </c>
      <c r="O45" s="158" t="s">
        <v>508</v>
      </c>
      <c r="P45" s="158" t="s">
        <v>1108</v>
      </c>
      <c r="Q45" s="158" t="s">
        <v>1256</v>
      </c>
    </row>
    <row r="46" spans="1:17" x14ac:dyDescent="0.35">
      <c r="A46" s="158" t="s">
        <v>612</v>
      </c>
      <c r="B46" s="159" t="s">
        <v>613</v>
      </c>
      <c r="C46" s="159" t="s">
        <v>614</v>
      </c>
      <c r="D46" s="158" t="s">
        <v>615</v>
      </c>
      <c r="E46" s="158" t="s">
        <v>551</v>
      </c>
      <c r="F46" s="158" t="s">
        <v>526</v>
      </c>
      <c r="G46" s="158" t="s">
        <v>616</v>
      </c>
      <c r="H46" s="158" t="s">
        <v>616</v>
      </c>
      <c r="I46" s="158" t="s">
        <v>661</v>
      </c>
      <c r="J46" s="159" t="s">
        <v>809</v>
      </c>
      <c r="K46" s="158" t="s">
        <v>957</v>
      </c>
      <c r="L46" s="158" t="s">
        <v>616</v>
      </c>
      <c r="M46" s="158" t="s">
        <v>526</v>
      </c>
      <c r="N46" s="158" t="s">
        <v>1061</v>
      </c>
      <c r="O46" s="158" t="s">
        <v>396</v>
      </c>
      <c r="P46" s="158" t="s">
        <v>1109</v>
      </c>
      <c r="Q46" s="158" t="s">
        <v>1257</v>
      </c>
    </row>
    <row r="47" spans="1:17" x14ac:dyDescent="0.35">
      <c r="A47" s="158" t="s">
        <v>612</v>
      </c>
      <c r="B47" s="159" t="s">
        <v>613</v>
      </c>
      <c r="C47" s="159" t="s">
        <v>614</v>
      </c>
      <c r="D47" s="158" t="s">
        <v>615</v>
      </c>
      <c r="E47" s="158" t="s">
        <v>551</v>
      </c>
      <c r="F47" s="158" t="s">
        <v>526</v>
      </c>
      <c r="G47" s="158" t="s">
        <v>616</v>
      </c>
      <c r="H47" s="158" t="s">
        <v>616</v>
      </c>
      <c r="I47" s="158" t="s">
        <v>662</v>
      </c>
      <c r="J47" s="159" t="s">
        <v>810</v>
      </c>
      <c r="K47" s="158" t="s">
        <v>958</v>
      </c>
      <c r="L47" s="158" t="s">
        <v>616</v>
      </c>
      <c r="M47" s="158" t="s">
        <v>526</v>
      </c>
      <c r="N47" s="158" t="s">
        <v>1061</v>
      </c>
      <c r="O47" s="158" t="s">
        <v>424</v>
      </c>
      <c r="P47" s="158" t="s">
        <v>1110</v>
      </c>
      <c r="Q47" s="158" t="s">
        <v>1258</v>
      </c>
    </row>
    <row r="48" spans="1:17" x14ac:dyDescent="0.35">
      <c r="A48" s="158" t="s">
        <v>612</v>
      </c>
      <c r="B48" s="159" t="s">
        <v>613</v>
      </c>
      <c r="C48" s="159" t="s">
        <v>614</v>
      </c>
      <c r="D48" s="158" t="s">
        <v>615</v>
      </c>
      <c r="E48" s="158" t="s">
        <v>551</v>
      </c>
      <c r="F48" s="158" t="s">
        <v>526</v>
      </c>
      <c r="G48" s="158" t="s">
        <v>616</v>
      </c>
      <c r="H48" s="158" t="s">
        <v>616</v>
      </c>
      <c r="I48" s="158" t="s">
        <v>663</v>
      </c>
      <c r="J48" s="159" t="s">
        <v>811</v>
      </c>
      <c r="K48" s="158" t="s">
        <v>959</v>
      </c>
      <c r="L48" s="158" t="s">
        <v>616</v>
      </c>
      <c r="M48" s="158" t="s">
        <v>526</v>
      </c>
      <c r="N48" s="158" t="s">
        <v>1061</v>
      </c>
      <c r="O48" s="158" t="s">
        <v>433</v>
      </c>
      <c r="P48" s="158" t="s">
        <v>1111</v>
      </c>
      <c r="Q48" s="158" t="s">
        <v>1259</v>
      </c>
    </row>
    <row r="49" spans="1:17" x14ac:dyDescent="0.35">
      <c r="A49" s="158" t="s">
        <v>612</v>
      </c>
      <c r="B49" s="159" t="s">
        <v>613</v>
      </c>
      <c r="C49" s="159" t="s">
        <v>614</v>
      </c>
      <c r="D49" s="158" t="s">
        <v>615</v>
      </c>
      <c r="E49" s="158" t="s">
        <v>551</v>
      </c>
      <c r="F49" s="158" t="s">
        <v>526</v>
      </c>
      <c r="G49" s="158" t="s">
        <v>616</v>
      </c>
      <c r="H49" s="158" t="s">
        <v>616</v>
      </c>
      <c r="I49" s="158" t="s">
        <v>664</v>
      </c>
      <c r="J49" s="159" t="s">
        <v>812</v>
      </c>
      <c r="K49" s="158" t="s">
        <v>960</v>
      </c>
      <c r="L49" s="158" t="s">
        <v>616</v>
      </c>
      <c r="M49" s="158" t="s">
        <v>526</v>
      </c>
      <c r="N49" s="158" t="s">
        <v>1061</v>
      </c>
      <c r="O49" s="158" t="s">
        <v>391</v>
      </c>
      <c r="P49" s="158" t="s">
        <v>1112</v>
      </c>
      <c r="Q49" s="158" t="s">
        <v>1260</v>
      </c>
    </row>
    <row r="50" spans="1:17" x14ac:dyDescent="0.35">
      <c r="A50" s="158" t="s">
        <v>612</v>
      </c>
      <c r="B50" s="159" t="s">
        <v>613</v>
      </c>
      <c r="C50" s="159" t="s">
        <v>614</v>
      </c>
      <c r="D50" s="158" t="s">
        <v>615</v>
      </c>
      <c r="E50" s="158" t="s">
        <v>551</v>
      </c>
      <c r="F50" s="158" t="s">
        <v>526</v>
      </c>
      <c r="G50" s="158" t="s">
        <v>616</v>
      </c>
      <c r="H50" s="158" t="s">
        <v>616</v>
      </c>
      <c r="I50" s="158" t="s">
        <v>665</v>
      </c>
      <c r="J50" s="159" t="s">
        <v>813</v>
      </c>
      <c r="K50" s="158" t="s">
        <v>961</v>
      </c>
      <c r="L50" s="158" t="s">
        <v>616</v>
      </c>
      <c r="M50" s="158" t="s">
        <v>526</v>
      </c>
      <c r="N50" s="158" t="s">
        <v>1061</v>
      </c>
      <c r="O50" s="158" t="s">
        <v>472</v>
      </c>
      <c r="P50" s="158" t="s">
        <v>1113</v>
      </c>
      <c r="Q50" s="158" t="s">
        <v>1261</v>
      </c>
    </row>
    <row r="51" spans="1:17" x14ac:dyDescent="0.35">
      <c r="A51" s="158" t="s">
        <v>612</v>
      </c>
      <c r="B51" s="159" t="s">
        <v>613</v>
      </c>
      <c r="C51" s="159" t="s">
        <v>614</v>
      </c>
      <c r="D51" s="158" t="s">
        <v>615</v>
      </c>
      <c r="E51" s="158" t="s">
        <v>551</v>
      </c>
      <c r="F51" s="158" t="s">
        <v>526</v>
      </c>
      <c r="G51" s="158" t="s">
        <v>616</v>
      </c>
      <c r="H51" s="158" t="s">
        <v>616</v>
      </c>
      <c r="I51" s="158" t="s">
        <v>666</v>
      </c>
      <c r="J51" s="159" t="s">
        <v>814</v>
      </c>
      <c r="K51" s="158" t="s">
        <v>962</v>
      </c>
      <c r="L51" s="158" t="s">
        <v>616</v>
      </c>
      <c r="M51" s="158" t="s">
        <v>526</v>
      </c>
      <c r="N51" s="158" t="s">
        <v>1061</v>
      </c>
      <c r="O51" s="158" t="s">
        <v>435</v>
      </c>
      <c r="P51" s="158" t="s">
        <v>1114</v>
      </c>
      <c r="Q51" s="158" t="s">
        <v>1262</v>
      </c>
    </row>
    <row r="52" spans="1:17" x14ac:dyDescent="0.35">
      <c r="A52" s="158" t="s">
        <v>612</v>
      </c>
      <c r="B52" s="159" t="s">
        <v>613</v>
      </c>
      <c r="C52" s="159" t="s">
        <v>614</v>
      </c>
      <c r="D52" s="158" t="s">
        <v>615</v>
      </c>
      <c r="E52" s="158" t="s">
        <v>551</v>
      </c>
      <c r="F52" s="158" t="s">
        <v>526</v>
      </c>
      <c r="G52" s="158" t="s">
        <v>616</v>
      </c>
      <c r="H52" s="158" t="s">
        <v>616</v>
      </c>
      <c r="I52" s="158" t="s">
        <v>667</v>
      </c>
      <c r="J52" s="159" t="s">
        <v>815</v>
      </c>
      <c r="K52" s="158" t="s">
        <v>963</v>
      </c>
      <c r="L52" s="158" t="s">
        <v>616</v>
      </c>
      <c r="M52" s="158" t="s">
        <v>526</v>
      </c>
      <c r="N52" s="158" t="s">
        <v>1061</v>
      </c>
      <c r="O52" s="158" t="s">
        <v>54</v>
      </c>
      <c r="P52" s="158" t="s">
        <v>1115</v>
      </c>
      <c r="Q52" s="158" t="s">
        <v>1263</v>
      </c>
    </row>
    <row r="53" spans="1:17" x14ac:dyDescent="0.35">
      <c r="A53" s="158" t="s">
        <v>612</v>
      </c>
      <c r="B53" s="159" t="s">
        <v>613</v>
      </c>
      <c r="C53" s="159" t="s">
        <v>614</v>
      </c>
      <c r="D53" s="158" t="s">
        <v>615</v>
      </c>
      <c r="E53" s="158" t="s">
        <v>551</v>
      </c>
      <c r="F53" s="158" t="s">
        <v>526</v>
      </c>
      <c r="G53" s="158" t="s">
        <v>616</v>
      </c>
      <c r="H53" s="158" t="s">
        <v>616</v>
      </c>
      <c r="I53" s="158" t="s">
        <v>668</v>
      </c>
      <c r="J53" s="159" t="s">
        <v>816</v>
      </c>
      <c r="K53" s="158" t="s">
        <v>964</v>
      </c>
      <c r="L53" s="158" t="s">
        <v>616</v>
      </c>
      <c r="M53" s="158" t="s">
        <v>526</v>
      </c>
      <c r="N53" s="158" t="s">
        <v>1061</v>
      </c>
      <c r="O53" s="158" t="s">
        <v>474</v>
      </c>
      <c r="P53" s="158" t="s">
        <v>1116</v>
      </c>
      <c r="Q53" s="158" t="s">
        <v>1264</v>
      </c>
    </row>
    <row r="54" spans="1:17" x14ac:dyDescent="0.35">
      <c r="A54" s="158" t="s">
        <v>612</v>
      </c>
      <c r="B54" s="159" t="s">
        <v>613</v>
      </c>
      <c r="C54" s="159" t="s">
        <v>614</v>
      </c>
      <c r="D54" s="158" t="s">
        <v>615</v>
      </c>
      <c r="E54" s="158" t="s">
        <v>551</v>
      </c>
      <c r="F54" s="158" t="s">
        <v>526</v>
      </c>
      <c r="G54" s="158" t="s">
        <v>616</v>
      </c>
      <c r="H54" s="158" t="s">
        <v>616</v>
      </c>
      <c r="I54" s="158" t="s">
        <v>669</v>
      </c>
      <c r="J54" s="159" t="s">
        <v>817</v>
      </c>
      <c r="K54" s="158" t="s">
        <v>965</v>
      </c>
      <c r="L54" s="158" t="s">
        <v>616</v>
      </c>
      <c r="M54" s="158" t="s">
        <v>526</v>
      </c>
      <c r="N54" s="158" t="s">
        <v>1061</v>
      </c>
      <c r="O54" s="158" t="s">
        <v>411</v>
      </c>
      <c r="P54" s="158" t="s">
        <v>1117</v>
      </c>
      <c r="Q54" s="158" t="s">
        <v>1265</v>
      </c>
    </row>
    <row r="55" spans="1:17" x14ac:dyDescent="0.35">
      <c r="A55" s="158" t="s">
        <v>612</v>
      </c>
      <c r="B55" s="159" t="s">
        <v>613</v>
      </c>
      <c r="C55" s="159" t="s">
        <v>614</v>
      </c>
      <c r="D55" s="158" t="s">
        <v>615</v>
      </c>
      <c r="E55" s="158" t="s">
        <v>551</v>
      </c>
      <c r="F55" s="158" t="s">
        <v>526</v>
      </c>
      <c r="G55" s="158" t="s">
        <v>616</v>
      </c>
      <c r="H55" s="158" t="s">
        <v>616</v>
      </c>
      <c r="I55" s="158" t="s">
        <v>670</v>
      </c>
      <c r="J55" s="159" t="s">
        <v>818</v>
      </c>
      <c r="K55" s="158" t="s">
        <v>966</v>
      </c>
      <c r="L55" s="158" t="s">
        <v>616</v>
      </c>
      <c r="M55" s="158" t="s">
        <v>526</v>
      </c>
      <c r="N55" s="158" t="s">
        <v>1061</v>
      </c>
      <c r="O55" s="158" t="s">
        <v>383</v>
      </c>
      <c r="P55" s="158" t="s">
        <v>1118</v>
      </c>
      <c r="Q55" s="158" t="s">
        <v>1266</v>
      </c>
    </row>
    <row r="56" spans="1:17" x14ac:dyDescent="0.35">
      <c r="A56" s="158" t="s">
        <v>612</v>
      </c>
      <c r="B56" s="159" t="s">
        <v>613</v>
      </c>
      <c r="C56" s="159" t="s">
        <v>614</v>
      </c>
      <c r="D56" s="158" t="s">
        <v>615</v>
      </c>
      <c r="E56" s="158" t="s">
        <v>551</v>
      </c>
      <c r="F56" s="158" t="s">
        <v>526</v>
      </c>
      <c r="G56" s="158" t="s">
        <v>616</v>
      </c>
      <c r="H56" s="158" t="s">
        <v>616</v>
      </c>
      <c r="I56" s="158" t="s">
        <v>671</v>
      </c>
      <c r="J56" s="159" t="s">
        <v>819</v>
      </c>
      <c r="K56" s="158" t="s">
        <v>967</v>
      </c>
      <c r="L56" s="158" t="s">
        <v>616</v>
      </c>
      <c r="M56" s="158" t="s">
        <v>526</v>
      </c>
      <c r="N56" s="158" t="s">
        <v>1061</v>
      </c>
      <c r="O56" s="158" t="s">
        <v>484</v>
      </c>
      <c r="P56" s="158" t="s">
        <v>1119</v>
      </c>
      <c r="Q56" s="158" t="s">
        <v>1267</v>
      </c>
    </row>
    <row r="57" spans="1:17" x14ac:dyDescent="0.35">
      <c r="A57" s="158" t="s">
        <v>612</v>
      </c>
      <c r="B57" s="159" t="s">
        <v>613</v>
      </c>
      <c r="C57" s="159" t="s">
        <v>614</v>
      </c>
      <c r="D57" s="158" t="s">
        <v>615</v>
      </c>
      <c r="E57" s="158" t="s">
        <v>551</v>
      </c>
      <c r="F57" s="158" t="s">
        <v>526</v>
      </c>
      <c r="G57" s="158" t="s">
        <v>616</v>
      </c>
      <c r="H57" s="158" t="s">
        <v>616</v>
      </c>
      <c r="I57" s="158" t="s">
        <v>672</v>
      </c>
      <c r="J57" s="159" t="s">
        <v>820</v>
      </c>
      <c r="K57" s="158" t="s">
        <v>968</v>
      </c>
      <c r="L57" s="158" t="s">
        <v>616</v>
      </c>
      <c r="M57" s="158" t="s">
        <v>526</v>
      </c>
      <c r="N57" s="158" t="s">
        <v>1061</v>
      </c>
      <c r="O57" s="158" t="s">
        <v>449</v>
      </c>
      <c r="P57" s="158" t="s">
        <v>1120</v>
      </c>
      <c r="Q57" s="158" t="s">
        <v>1268</v>
      </c>
    </row>
    <row r="58" spans="1:17" x14ac:dyDescent="0.35">
      <c r="A58" s="158" t="s">
        <v>612</v>
      </c>
      <c r="B58" s="159" t="s">
        <v>613</v>
      </c>
      <c r="C58" s="159" t="s">
        <v>614</v>
      </c>
      <c r="D58" s="158" t="s">
        <v>615</v>
      </c>
      <c r="E58" s="158" t="s">
        <v>551</v>
      </c>
      <c r="F58" s="158" t="s">
        <v>526</v>
      </c>
      <c r="G58" s="158" t="s">
        <v>616</v>
      </c>
      <c r="H58" s="158" t="s">
        <v>616</v>
      </c>
      <c r="I58" s="158" t="s">
        <v>673</v>
      </c>
      <c r="J58" s="159" t="s">
        <v>821</v>
      </c>
      <c r="K58" s="158" t="s">
        <v>969</v>
      </c>
      <c r="L58" s="158" t="s">
        <v>616</v>
      </c>
      <c r="M58" s="158" t="s">
        <v>526</v>
      </c>
      <c r="N58" s="158" t="s">
        <v>1061</v>
      </c>
      <c r="O58" s="158" t="s">
        <v>425</v>
      </c>
      <c r="P58" s="158" t="s">
        <v>1121</v>
      </c>
      <c r="Q58" s="158" t="s">
        <v>1269</v>
      </c>
    </row>
    <row r="59" spans="1:17" x14ac:dyDescent="0.35">
      <c r="A59" s="158" t="s">
        <v>612</v>
      </c>
      <c r="B59" s="159" t="s">
        <v>613</v>
      </c>
      <c r="C59" s="159" t="s">
        <v>614</v>
      </c>
      <c r="D59" s="158" t="s">
        <v>615</v>
      </c>
      <c r="E59" s="158" t="s">
        <v>551</v>
      </c>
      <c r="F59" s="158" t="s">
        <v>526</v>
      </c>
      <c r="G59" s="158" t="s">
        <v>616</v>
      </c>
      <c r="H59" s="158" t="s">
        <v>616</v>
      </c>
      <c r="I59" s="158" t="s">
        <v>674</v>
      </c>
      <c r="J59" s="159" t="s">
        <v>822</v>
      </c>
      <c r="K59" s="158" t="s">
        <v>970</v>
      </c>
      <c r="L59" s="158" t="s">
        <v>616</v>
      </c>
      <c r="M59" s="158" t="s">
        <v>526</v>
      </c>
      <c r="N59" s="158" t="s">
        <v>1061</v>
      </c>
      <c r="O59" s="158" t="s">
        <v>420</v>
      </c>
      <c r="P59" s="158" t="s">
        <v>1122</v>
      </c>
      <c r="Q59" s="158" t="s">
        <v>1270</v>
      </c>
    </row>
    <row r="60" spans="1:17" x14ac:dyDescent="0.35">
      <c r="A60" s="158" t="s">
        <v>612</v>
      </c>
      <c r="B60" s="159" t="s">
        <v>613</v>
      </c>
      <c r="C60" s="159" t="s">
        <v>614</v>
      </c>
      <c r="D60" s="158" t="s">
        <v>615</v>
      </c>
      <c r="E60" s="158" t="s">
        <v>551</v>
      </c>
      <c r="F60" s="158" t="s">
        <v>526</v>
      </c>
      <c r="G60" s="158" t="s">
        <v>616</v>
      </c>
      <c r="H60" s="158" t="s">
        <v>616</v>
      </c>
      <c r="I60" s="158" t="s">
        <v>675</v>
      </c>
      <c r="J60" s="159" t="s">
        <v>823</v>
      </c>
      <c r="K60" s="158" t="s">
        <v>971</v>
      </c>
      <c r="L60" s="158" t="s">
        <v>616</v>
      </c>
      <c r="M60" s="158" t="s">
        <v>526</v>
      </c>
      <c r="N60" s="158" t="s">
        <v>1061</v>
      </c>
      <c r="O60" s="158" t="s">
        <v>466</v>
      </c>
      <c r="P60" s="158" t="s">
        <v>1123</v>
      </c>
      <c r="Q60" s="158" t="s">
        <v>1271</v>
      </c>
    </row>
    <row r="61" spans="1:17" x14ac:dyDescent="0.35">
      <c r="A61" s="158" t="s">
        <v>612</v>
      </c>
      <c r="B61" s="159" t="s">
        <v>613</v>
      </c>
      <c r="C61" s="159" t="s">
        <v>614</v>
      </c>
      <c r="D61" s="158" t="s">
        <v>615</v>
      </c>
      <c r="E61" s="158" t="s">
        <v>551</v>
      </c>
      <c r="F61" s="158" t="s">
        <v>526</v>
      </c>
      <c r="G61" s="158" t="s">
        <v>616</v>
      </c>
      <c r="H61" s="158" t="s">
        <v>616</v>
      </c>
      <c r="I61" s="158" t="s">
        <v>676</v>
      </c>
      <c r="J61" s="159" t="s">
        <v>824</v>
      </c>
      <c r="K61" s="158" t="s">
        <v>972</v>
      </c>
      <c r="L61" s="158" t="s">
        <v>616</v>
      </c>
      <c r="M61" s="158" t="s">
        <v>526</v>
      </c>
      <c r="N61" s="158" t="s">
        <v>1061</v>
      </c>
      <c r="O61" s="158" t="s">
        <v>471</v>
      </c>
      <c r="P61" s="158" t="s">
        <v>1124</v>
      </c>
      <c r="Q61" s="158" t="s">
        <v>1272</v>
      </c>
    </row>
    <row r="62" spans="1:17" x14ac:dyDescent="0.35">
      <c r="A62" s="158" t="s">
        <v>612</v>
      </c>
      <c r="B62" s="159" t="s">
        <v>613</v>
      </c>
      <c r="C62" s="159" t="s">
        <v>614</v>
      </c>
      <c r="D62" s="158" t="s">
        <v>615</v>
      </c>
      <c r="E62" s="158" t="s">
        <v>551</v>
      </c>
      <c r="F62" s="158" t="s">
        <v>526</v>
      </c>
      <c r="G62" s="158" t="s">
        <v>616</v>
      </c>
      <c r="H62" s="158" t="s">
        <v>616</v>
      </c>
      <c r="I62" s="158" t="s">
        <v>677</v>
      </c>
      <c r="J62" s="159" t="s">
        <v>825</v>
      </c>
      <c r="K62" s="158" t="s">
        <v>973</v>
      </c>
      <c r="L62" s="158" t="s">
        <v>616</v>
      </c>
      <c r="M62" s="158" t="s">
        <v>526</v>
      </c>
      <c r="N62" s="158" t="s">
        <v>1061</v>
      </c>
      <c r="O62" s="158" t="s">
        <v>412</v>
      </c>
      <c r="P62" s="158" t="s">
        <v>1125</v>
      </c>
      <c r="Q62" s="158" t="s">
        <v>1273</v>
      </c>
    </row>
    <row r="63" spans="1:17" x14ac:dyDescent="0.35">
      <c r="A63" s="158" t="s">
        <v>612</v>
      </c>
      <c r="B63" s="159" t="s">
        <v>613</v>
      </c>
      <c r="C63" s="159" t="s">
        <v>614</v>
      </c>
      <c r="D63" s="158" t="s">
        <v>615</v>
      </c>
      <c r="E63" s="158" t="s">
        <v>551</v>
      </c>
      <c r="F63" s="158" t="s">
        <v>526</v>
      </c>
      <c r="G63" s="158" t="s">
        <v>616</v>
      </c>
      <c r="H63" s="158" t="s">
        <v>616</v>
      </c>
      <c r="I63" s="158" t="s">
        <v>678</v>
      </c>
      <c r="J63" s="159" t="s">
        <v>826</v>
      </c>
      <c r="K63" s="158" t="s">
        <v>974</v>
      </c>
      <c r="L63" s="158" t="s">
        <v>616</v>
      </c>
      <c r="M63" s="158" t="s">
        <v>526</v>
      </c>
      <c r="N63" s="158" t="s">
        <v>1061</v>
      </c>
      <c r="O63" s="158" t="s">
        <v>486</v>
      </c>
      <c r="P63" s="158" t="s">
        <v>1126</v>
      </c>
      <c r="Q63" s="158" t="s">
        <v>1274</v>
      </c>
    </row>
    <row r="64" spans="1:17" x14ac:dyDescent="0.35">
      <c r="A64" s="158" t="s">
        <v>612</v>
      </c>
      <c r="B64" s="159" t="s">
        <v>613</v>
      </c>
      <c r="C64" s="159" t="s">
        <v>614</v>
      </c>
      <c r="D64" s="158" t="s">
        <v>615</v>
      </c>
      <c r="E64" s="158" t="s">
        <v>551</v>
      </c>
      <c r="F64" s="158" t="s">
        <v>526</v>
      </c>
      <c r="G64" s="158" t="s">
        <v>616</v>
      </c>
      <c r="H64" s="158" t="s">
        <v>616</v>
      </c>
      <c r="I64" s="158" t="s">
        <v>679</v>
      </c>
      <c r="J64" s="159" t="s">
        <v>827</v>
      </c>
      <c r="K64" s="158" t="s">
        <v>975</v>
      </c>
      <c r="L64" s="158" t="s">
        <v>616</v>
      </c>
      <c r="M64" s="158" t="s">
        <v>526</v>
      </c>
      <c r="N64" s="158" t="s">
        <v>1061</v>
      </c>
      <c r="O64" s="158" t="s">
        <v>402</v>
      </c>
      <c r="P64" s="158" t="s">
        <v>1127</v>
      </c>
      <c r="Q64" s="158" t="s">
        <v>1275</v>
      </c>
    </row>
    <row r="65" spans="1:17" x14ac:dyDescent="0.35">
      <c r="A65" s="158" t="s">
        <v>612</v>
      </c>
      <c r="B65" s="159" t="s">
        <v>613</v>
      </c>
      <c r="C65" s="159" t="s">
        <v>614</v>
      </c>
      <c r="D65" s="158" t="s">
        <v>615</v>
      </c>
      <c r="E65" s="158" t="s">
        <v>551</v>
      </c>
      <c r="F65" s="158" t="s">
        <v>526</v>
      </c>
      <c r="G65" s="158" t="s">
        <v>616</v>
      </c>
      <c r="H65" s="158" t="s">
        <v>616</v>
      </c>
      <c r="I65" s="158" t="s">
        <v>680</v>
      </c>
      <c r="J65" s="159" t="s">
        <v>828</v>
      </c>
      <c r="K65" s="158" t="s">
        <v>976</v>
      </c>
      <c r="L65" s="158" t="s">
        <v>616</v>
      </c>
      <c r="M65" s="158" t="s">
        <v>526</v>
      </c>
      <c r="N65" s="158" t="s">
        <v>1061</v>
      </c>
      <c r="O65" s="158" t="s">
        <v>405</v>
      </c>
      <c r="P65" s="158" t="s">
        <v>1128</v>
      </c>
      <c r="Q65" s="158" t="s">
        <v>1276</v>
      </c>
    </row>
    <row r="66" spans="1:17" x14ac:dyDescent="0.35">
      <c r="A66" s="158" t="s">
        <v>612</v>
      </c>
      <c r="B66" s="159" t="s">
        <v>613</v>
      </c>
      <c r="C66" s="159" t="s">
        <v>614</v>
      </c>
      <c r="D66" s="158" t="s">
        <v>615</v>
      </c>
      <c r="E66" s="158" t="s">
        <v>551</v>
      </c>
      <c r="F66" s="158" t="s">
        <v>526</v>
      </c>
      <c r="G66" s="158" t="s">
        <v>616</v>
      </c>
      <c r="H66" s="158" t="s">
        <v>616</v>
      </c>
      <c r="I66" s="158" t="s">
        <v>681</v>
      </c>
      <c r="J66" s="159" t="s">
        <v>829</v>
      </c>
      <c r="K66" s="158" t="s">
        <v>977</v>
      </c>
      <c r="L66" s="158" t="s">
        <v>616</v>
      </c>
      <c r="M66" s="158" t="s">
        <v>526</v>
      </c>
      <c r="N66" s="158" t="s">
        <v>1061</v>
      </c>
      <c r="O66" s="158" t="s">
        <v>488</v>
      </c>
      <c r="P66" s="158" t="s">
        <v>1129</v>
      </c>
      <c r="Q66" s="158" t="s">
        <v>1277</v>
      </c>
    </row>
    <row r="67" spans="1:17" x14ac:dyDescent="0.35">
      <c r="A67" s="158" t="s">
        <v>612</v>
      </c>
      <c r="B67" s="159" t="s">
        <v>613</v>
      </c>
      <c r="C67" s="159" t="s">
        <v>614</v>
      </c>
      <c r="D67" s="158" t="s">
        <v>615</v>
      </c>
      <c r="E67" s="158" t="s">
        <v>551</v>
      </c>
      <c r="F67" s="158" t="s">
        <v>526</v>
      </c>
      <c r="G67" s="158" t="s">
        <v>616</v>
      </c>
      <c r="H67" s="158" t="s">
        <v>616</v>
      </c>
      <c r="I67" s="158" t="s">
        <v>682</v>
      </c>
      <c r="J67" s="159" t="s">
        <v>830</v>
      </c>
      <c r="K67" s="158" t="s">
        <v>978</v>
      </c>
      <c r="L67" s="158" t="s">
        <v>616</v>
      </c>
      <c r="M67" s="158" t="s">
        <v>526</v>
      </c>
      <c r="N67" s="158" t="s">
        <v>1061</v>
      </c>
      <c r="O67" s="158" t="s">
        <v>406</v>
      </c>
      <c r="P67" s="158" t="s">
        <v>1130</v>
      </c>
      <c r="Q67" s="158" t="s">
        <v>1278</v>
      </c>
    </row>
    <row r="68" spans="1:17" x14ac:dyDescent="0.35">
      <c r="A68" s="158" t="s">
        <v>612</v>
      </c>
      <c r="B68" s="159" t="s">
        <v>613</v>
      </c>
      <c r="C68" s="159" t="s">
        <v>614</v>
      </c>
      <c r="D68" s="158" t="s">
        <v>615</v>
      </c>
      <c r="E68" s="158" t="s">
        <v>551</v>
      </c>
      <c r="F68" s="158" t="s">
        <v>526</v>
      </c>
      <c r="G68" s="158" t="s">
        <v>616</v>
      </c>
      <c r="H68" s="158" t="s">
        <v>616</v>
      </c>
      <c r="I68" s="158" t="s">
        <v>683</v>
      </c>
      <c r="J68" s="159" t="s">
        <v>831</v>
      </c>
      <c r="K68" s="158" t="s">
        <v>979</v>
      </c>
      <c r="L68" s="158" t="s">
        <v>616</v>
      </c>
      <c r="M68" s="158" t="s">
        <v>526</v>
      </c>
      <c r="N68" s="158" t="s">
        <v>1061</v>
      </c>
      <c r="O68" s="158" t="s">
        <v>408</v>
      </c>
      <c r="P68" s="158" t="s">
        <v>1131</v>
      </c>
      <c r="Q68" s="158" t="s">
        <v>1279</v>
      </c>
    </row>
    <row r="69" spans="1:17" x14ac:dyDescent="0.35">
      <c r="A69" s="158" t="s">
        <v>612</v>
      </c>
      <c r="B69" s="159" t="s">
        <v>613</v>
      </c>
      <c r="C69" s="159" t="s">
        <v>614</v>
      </c>
      <c r="D69" s="158" t="s">
        <v>615</v>
      </c>
      <c r="E69" s="158" t="s">
        <v>551</v>
      </c>
      <c r="F69" s="158" t="s">
        <v>526</v>
      </c>
      <c r="G69" s="158" t="s">
        <v>616</v>
      </c>
      <c r="H69" s="158" t="s">
        <v>616</v>
      </c>
      <c r="I69" s="158" t="s">
        <v>684</v>
      </c>
      <c r="J69" s="159" t="s">
        <v>832</v>
      </c>
      <c r="K69" s="158" t="s">
        <v>980</v>
      </c>
      <c r="L69" s="158" t="s">
        <v>616</v>
      </c>
      <c r="M69" s="158" t="s">
        <v>526</v>
      </c>
      <c r="N69" s="158" t="s">
        <v>1061</v>
      </c>
      <c r="O69" s="158" t="s">
        <v>438</v>
      </c>
      <c r="P69" s="158" t="s">
        <v>1132</v>
      </c>
      <c r="Q69" s="158" t="s">
        <v>1280</v>
      </c>
    </row>
    <row r="70" spans="1:17" x14ac:dyDescent="0.35">
      <c r="A70" s="158" t="s">
        <v>612</v>
      </c>
      <c r="B70" s="159" t="s">
        <v>613</v>
      </c>
      <c r="C70" s="159" t="s">
        <v>614</v>
      </c>
      <c r="D70" s="158" t="s">
        <v>615</v>
      </c>
      <c r="E70" s="158" t="s">
        <v>551</v>
      </c>
      <c r="F70" s="158" t="s">
        <v>526</v>
      </c>
      <c r="G70" s="158" t="s">
        <v>616</v>
      </c>
      <c r="H70" s="158" t="s">
        <v>616</v>
      </c>
      <c r="I70" s="158" t="s">
        <v>685</v>
      </c>
      <c r="J70" s="159" t="s">
        <v>833</v>
      </c>
      <c r="K70" s="158" t="s">
        <v>981</v>
      </c>
      <c r="L70" s="158" t="s">
        <v>616</v>
      </c>
      <c r="M70" s="158" t="s">
        <v>526</v>
      </c>
      <c r="N70" s="158" t="s">
        <v>1061</v>
      </c>
      <c r="O70" s="158" t="s">
        <v>502</v>
      </c>
      <c r="P70" s="158" t="s">
        <v>1133</v>
      </c>
      <c r="Q70" s="158" t="s">
        <v>1281</v>
      </c>
    </row>
    <row r="71" spans="1:17" x14ac:dyDescent="0.35">
      <c r="A71" s="158" t="s">
        <v>612</v>
      </c>
      <c r="B71" s="159" t="s">
        <v>613</v>
      </c>
      <c r="C71" s="159" t="s">
        <v>614</v>
      </c>
      <c r="D71" s="158" t="s">
        <v>615</v>
      </c>
      <c r="E71" s="158" t="s">
        <v>551</v>
      </c>
      <c r="F71" s="158" t="s">
        <v>526</v>
      </c>
      <c r="G71" s="158" t="s">
        <v>616</v>
      </c>
      <c r="H71" s="158" t="s">
        <v>616</v>
      </c>
      <c r="I71" s="158" t="s">
        <v>686</v>
      </c>
      <c r="J71" s="159" t="s">
        <v>834</v>
      </c>
      <c r="K71" s="158" t="s">
        <v>982</v>
      </c>
      <c r="L71" s="158" t="s">
        <v>616</v>
      </c>
      <c r="M71" s="158" t="s">
        <v>526</v>
      </c>
      <c r="N71" s="158" t="s">
        <v>1061</v>
      </c>
      <c r="O71" s="158" t="s">
        <v>421</v>
      </c>
      <c r="P71" s="158" t="s">
        <v>1134</v>
      </c>
      <c r="Q71" s="158" t="s">
        <v>1282</v>
      </c>
    </row>
    <row r="72" spans="1:17" x14ac:dyDescent="0.35">
      <c r="A72" s="158" t="s">
        <v>612</v>
      </c>
      <c r="B72" s="159" t="s">
        <v>613</v>
      </c>
      <c r="C72" s="159" t="s">
        <v>614</v>
      </c>
      <c r="D72" s="158" t="s">
        <v>615</v>
      </c>
      <c r="E72" s="158" t="s">
        <v>551</v>
      </c>
      <c r="F72" s="158" t="s">
        <v>526</v>
      </c>
      <c r="G72" s="158" t="s">
        <v>616</v>
      </c>
      <c r="H72" s="158" t="s">
        <v>616</v>
      </c>
      <c r="I72" s="158" t="s">
        <v>687</v>
      </c>
      <c r="J72" s="159" t="s">
        <v>835</v>
      </c>
      <c r="K72" s="158" t="s">
        <v>983</v>
      </c>
      <c r="L72" s="158" t="s">
        <v>616</v>
      </c>
      <c r="M72" s="158" t="s">
        <v>526</v>
      </c>
      <c r="N72" s="158" t="s">
        <v>1061</v>
      </c>
      <c r="O72" s="158" t="s">
        <v>492</v>
      </c>
      <c r="P72" s="158" t="s">
        <v>1135</v>
      </c>
      <c r="Q72" s="158" t="s">
        <v>1283</v>
      </c>
    </row>
    <row r="73" spans="1:17" x14ac:dyDescent="0.35">
      <c r="A73" s="158" t="s">
        <v>612</v>
      </c>
      <c r="B73" s="159" t="s">
        <v>613</v>
      </c>
      <c r="C73" s="159" t="s">
        <v>614</v>
      </c>
      <c r="D73" s="158" t="s">
        <v>615</v>
      </c>
      <c r="E73" s="158" t="s">
        <v>551</v>
      </c>
      <c r="F73" s="158" t="s">
        <v>526</v>
      </c>
      <c r="G73" s="158" t="s">
        <v>616</v>
      </c>
      <c r="H73" s="158" t="s">
        <v>616</v>
      </c>
      <c r="I73" s="158" t="s">
        <v>688</v>
      </c>
      <c r="J73" s="159" t="s">
        <v>836</v>
      </c>
      <c r="K73" s="158" t="s">
        <v>984</v>
      </c>
      <c r="L73" s="158" t="s">
        <v>616</v>
      </c>
      <c r="M73" s="158" t="s">
        <v>526</v>
      </c>
      <c r="N73" s="158" t="s">
        <v>1061</v>
      </c>
      <c r="O73" s="158" t="s">
        <v>490</v>
      </c>
      <c r="P73" s="158" t="s">
        <v>1136</v>
      </c>
      <c r="Q73" s="158" t="s">
        <v>1284</v>
      </c>
    </row>
    <row r="74" spans="1:17" x14ac:dyDescent="0.35">
      <c r="A74" s="158" t="s">
        <v>612</v>
      </c>
      <c r="B74" s="159" t="s">
        <v>613</v>
      </c>
      <c r="C74" s="159" t="s">
        <v>614</v>
      </c>
      <c r="D74" s="158" t="s">
        <v>615</v>
      </c>
      <c r="E74" s="158" t="s">
        <v>551</v>
      </c>
      <c r="F74" s="158" t="s">
        <v>526</v>
      </c>
      <c r="G74" s="158" t="s">
        <v>616</v>
      </c>
      <c r="H74" s="158" t="s">
        <v>616</v>
      </c>
      <c r="I74" s="158" t="s">
        <v>689</v>
      </c>
      <c r="J74" s="159" t="s">
        <v>837</v>
      </c>
      <c r="K74" s="158" t="s">
        <v>985</v>
      </c>
      <c r="L74" s="158" t="s">
        <v>616</v>
      </c>
      <c r="M74" s="158" t="s">
        <v>526</v>
      </c>
      <c r="N74" s="158" t="s">
        <v>1061</v>
      </c>
      <c r="O74" s="158" t="s">
        <v>387</v>
      </c>
      <c r="P74" s="158" t="s">
        <v>1137</v>
      </c>
      <c r="Q74" s="158" t="s">
        <v>1285</v>
      </c>
    </row>
    <row r="75" spans="1:17" x14ac:dyDescent="0.35">
      <c r="A75" s="158" t="s">
        <v>612</v>
      </c>
      <c r="B75" s="159" t="s">
        <v>613</v>
      </c>
      <c r="C75" s="159" t="s">
        <v>614</v>
      </c>
      <c r="D75" s="158" t="s">
        <v>615</v>
      </c>
      <c r="E75" s="158" t="s">
        <v>551</v>
      </c>
      <c r="F75" s="158" t="s">
        <v>526</v>
      </c>
      <c r="G75" s="158" t="s">
        <v>616</v>
      </c>
      <c r="H75" s="158" t="s">
        <v>616</v>
      </c>
      <c r="I75" s="158" t="s">
        <v>690</v>
      </c>
      <c r="J75" s="159" t="s">
        <v>838</v>
      </c>
      <c r="K75" s="158" t="s">
        <v>986</v>
      </c>
      <c r="L75" s="158" t="s">
        <v>616</v>
      </c>
      <c r="M75" s="158" t="s">
        <v>526</v>
      </c>
      <c r="N75" s="158" t="s">
        <v>1061</v>
      </c>
      <c r="O75" s="158" t="s">
        <v>415</v>
      </c>
      <c r="P75" s="158" t="s">
        <v>1138</v>
      </c>
      <c r="Q75" s="158" t="s">
        <v>1286</v>
      </c>
    </row>
    <row r="76" spans="1:17" x14ac:dyDescent="0.35">
      <c r="A76" s="158" t="s">
        <v>612</v>
      </c>
      <c r="B76" s="159" t="s">
        <v>613</v>
      </c>
      <c r="C76" s="159" t="s">
        <v>614</v>
      </c>
      <c r="D76" s="158" t="s">
        <v>615</v>
      </c>
      <c r="E76" s="158" t="s">
        <v>551</v>
      </c>
      <c r="F76" s="158" t="s">
        <v>526</v>
      </c>
      <c r="G76" s="158" t="s">
        <v>616</v>
      </c>
      <c r="H76" s="158" t="s">
        <v>616</v>
      </c>
      <c r="I76" s="158" t="s">
        <v>691</v>
      </c>
      <c r="J76" s="159" t="s">
        <v>839</v>
      </c>
      <c r="K76" s="158" t="s">
        <v>987</v>
      </c>
      <c r="L76" s="158" t="s">
        <v>616</v>
      </c>
      <c r="M76" s="158" t="s">
        <v>526</v>
      </c>
      <c r="N76" s="158" t="s">
        <v>1061</v>
      </c>
      <c r="O76" s="158" t="s">
        <v>448</v>
      </c>
      <c r="P76" s="158" t="s">
        <v>1139</v>
      </c>
      <c r="Q76" s="158" t="s">
        <v>1287</v>
      </c>
    </row>
    <row r="77" spans="1:17" x14ac:dyDescent="0.35">
      <c r="A77" s="158" t="s">
        <v>612</v>
      </c>
      <c r="B77" s="159" t="s">
        <v>613</v>
      </c>
      <c r="C77" s="159" t="s">
        <v>614</v>
      </c>
      <c r="D77" s="158" t="s">
        <v>615</v>
      </c>
      <c r="E77" s="158" t="s">
        <v>551</v>
      </c>
      <c r="F77" s="158" t="s">
        <v>526</v>
      </c>
      <c r="G77" s="158" t="s">
        <v>616</v>
      </c>
      <c r="H77" s="158" t="s">
        <v>616</v>
      </c>
      <c r="I77" s="158" t="s">
        <v>692</v>
      </c>
      <c r="J77" s="159" t="s">
        <v>840</v>
      </c>
      <c r="K77" s="158" t="s">
        <v>988</v>
      </c>
      <c r="L77" s="158" t="s">
        <v>616</v>
      </c>
      <c r="M77" s="158" t="s">
        <v>526</v>
      </c>
      <c r="N77" s="158" t="s">
        <v>1061</v>
      </c>
      <c r="O77" s="158" t="s">
        <v>504</v>
      </c>
      <c r="P77" s="158" t="s">
        <v>1140</v>
      </c>
      <c r="Q77" s="158" t="s">
        <v>1288</v>
      </c>
    </row>
    <row r="78" spans="1:17" x14ac:dyDescent="0.35">
      <c r="A78" s="158" t="s">
        <v>612</v>
      </c>
      <c r="B78" s="159" t="s">
        <v>613</v>
      </c>
      <c r="C78" s="159" t="s">
        <v>614</v>
      </c>
      <c r="D78" s="158" t="s">
        <v>615</v>
      </c>
      <c r="E78" s="158" t="s">
        <v>551</v>
      </c>
      <c r="F78" s="158" t="s">
        <v>526</v>
      </c>
      <c r="G78" s="158" t="s">
        <v>616</v>
      </c>
      <c r="H78" s="158" t="s">
        <v>616</v>
      </c>
      <c r="I78" s="158" t="s">
        <v>693</v>
      </c>
      <c r="J78" s="159" t="s">
        <v>841</v>
      </c>
      <c r="K78" s="158" t="s">
        <v>989</v>
      </c>
      <c r="L78" s="158" t="s">
        <v>616</v>
      </c>
      <c r="M78" s="158" t="s">
        <v>526</v>
      </c>
      <c r="N78" s="158" t="s">
        <v>1061</v>
      </c>
      <c r="O78" s="158" t="s">
        <v>462</v>
      </c>
      <c r="P78" s="158" t="s">
        <v>1141</v>
      </c>
      <c r="Q78" s="158" t="s">
        <v>1289</v>
      </c>
    </row>
    <row r="79" spans="1:17" x14ac:dyDescent="0.35">
      <c r="A79" s="158" t="s">
        <v>612</v>
      </c>
      <c r="B79" s="159" t="s">
        <v>613</v>
      </c>
      <c r="C79" s="159" t="s">
        <v>614</v>
      </c>
      <c r="D79" s="158" t="s">
        <v>615</v>
      </c>
      <c r="E79" s="158" t="s">
        <v>551</v>
      </c>
      <c r="F79" s="158" t="s">
        <v>526</v>
      </c>
      <c r="G79" s="158" t="s">
        <v>616</v>
      </c>
      <c r="H79" s="158" t="s">
        <v>616</v>
      </c>
      <c r="I79" s="158" t="s">
        <v>694</v>
      </c>
      <c r="J79" s="159" t="s">
        <v>842</v>
      </c>
      <c r="K79" s="158" t="s">
        <v>990</v>
      </c>
      <c r="L79" s="158" t="s">
        <v>616</v>
      </c>
      <c r="M79" s="158" t="s">
        <v>526</v>
      </c>
      <c r="N79" s="158" t="s">
        <v>1061</v>
      </c>
      <c r="O79" s="158" t="s">
        <v>524</v>
      </c>
      <c r="P79" s="158" t="s">
        <v>1142</v>
      </c>
      <c r="Q79" s="158" t="s">
        <v>1290</v>
      </c>
    </row>
    <row r="80" spans="1:17" x14ac:dyDescent="0.35">
      <c r="A80" s="158" t="s">
        <v>612</v>
      </c>
      <c r="B80" s="159" t="s">
        <v>613</v>
      </c>
      <c r="C80" s="159" t="s">
        <v>614</v>
      </c>
      <c r="D80" s="158" t="s">
        <v>615</v>
      </c>
      <c r="E80" s="158" t="s">
        <v>551</v>
      </c>
      <c r="F80" s="158" t="s">
        <v>526</v>
      </c>
      <c r="G80" s="158" t="s">
        <v>616</v>
      </c>
      <c r="H80" s="158" t="s">
        <v>616</v>
      </c>
      <c r="I80" s="158" t="s">
        <v>695</v>
      </c>
      <c r="J80" s="159" t="s">
        <v>843</v>
      </c>
      <c r="K80" s="158" t="s">
        <v>991</v>
      </c>
      <c r="L80" s="158" t="s">
        <v>616</v>
      </c>
      <c r="M80" s="158" t="s">
        <v>526</v>
      </c>
      <c r="N80" s="158" t="s">
        <v>1061</v>
      </c>
      <c r="O80" s="158" t="s">
        <v>444</v>
      </c>
      <c r="P80" s="158" t="s">
        <v>1143</v>
      </c>
      <c r="Q80" s="158" t="s">
        <v>1291</v>
      </c>
    </row>
    <row r="81" spans="1:17" x14ac:dyDescent="0.35">
      <c r="A81" s="158" t="s">
        <v>612</v>
      </c>
      <c r="B81" s="159" t="s">
        <v>613</v>
      </c>
      <c r="C81" s="159" t="s">
        <v>614</v>
      </c>
      <c r="D81" s="158" t="s">
        <v>615</v>
      </c>
      <c r="E81" s="158" t="s">
        <v>551</v>
      </c>
      <c r="F81" s="158" t="s">
        <v>526</v>
      </c>
      <c r="G81" s="158" t="s">
        <v>616</v>
      </c>
      <c r="H81" s="158" t="s">
        <v>616</v>
      </c>
      <c r="I81" s="158" t="s">
        <v>696</v>
      </c>
      <c r="J81" s="159" t="s">
        <v>844</v>
      </c>
      <c r="K81" s="158" t="s">
        <v>992</v>
      </c>
      <c r="L81" s="158" t="s">
        <v>616</v>
      </c>
      <c r="M81" s="158" t="s">
        <v>526</v>
      </c>
      <c r="N81" s="158" t="s">
        <v>1061</v>
      </c>
      <c r="O81" s="158" t="s">
        <v>437</v>
      </c>
      <c r="P81" s="158" t="s">
        <v>1144</v>
      </c>
      <c r="Q81" s="158" t="s">
        <v>1292</v>
      </c>
    </row>
    <row r="82" spans="1:17" x14ac:dyDescent="0.35">
      <c r="A82" s="158" t="s">
        <v>612</v>
      </c>
      <c r="B82" s="159" t="s">
        <v>613</v>
      </c>
      <c r="C82" s="159" t="s">
        <v>614</v>
      </c>
      <c r="D82" s="158" t="s">
        <v>615</v>
      </c>
      <c r="E82" s="158" t="s">
        <v>551</v>
      </c>
      <c r="F82" s="158" t="s">
        <v>526</v>
      </c>
      <c r="G82" s="158" t="s">
        <v>616</v>
      </c>
      <c r="H82" s="158" t="s">
        <v>616</v>
      </c>
      <c r="I82" s="158" t="s">
        <v>697</v>
      </c>
      <c r="J82" s="159" t="s">
        <v>845</v>
      </c>
      <c r="K82" s="158" t="s">
        <v>993</v>
      </c>
      <c r="L82" s="158" t="s">
        <v>616</v>
      </c>
      <c r="M82" s="158" t="s">
        <v>526</v>
      </c>
      <c r="N82" s="158" t="s">
        <v>1061</v>
      </c>
      <c r="O82" s="158" t="s">
        <v>510</v>
      </c>
      <c r="P82" s="158" t="s">
        <v>1145</v>
      </c>
      <c r="Q82" s="158" t="s">
        <v>1293</v>
      </c>
    </row>
    <row r="83" spans="1:17" x14ac:dyDescent="0.35">
      <c r="A83" s="158" t="s">
        <v>612</v>
      </c>
      <c r="B83" s="159" t="s">
        <v>613</v>
      </c>
      <c r="C83" s="159" t="s">
        <v>614</v>
      </c>
      <c r="D83" s="158" t="s">
        <v>615</v>
      </c>
      <c r="E83" s="158" t="s">
        <v>551</v>
      </c>
      <c r="F83" s="158" t="s">
        <v>526</v>
      </c>
      <c r="G83" s="158" t="s">
        <v>616</v>
      </c>
      <c r="H83" s="158" t="s">
        <v>616</v>
      </c>
      <c r="I83" s="158" t="s">
        <v>698</v>
      </c>
      <c r="J83" s="159" t="s">
        <v>846</v>
      </c>
      <c r="K83" s="158" t="s">
        <v>994</v>
      </c>
      <c r="L83" s="158" t="s">
        <v>616</v>
      </c>
      <c r="M83" s="158" t="s">
        <v>526</v>
      </c>
      <c r="N83" s="158" t="s">
        <v>1061</v>
      </c>
      <c r="O83" s="158" t="s">
        <v>465</v>
      </c>
      <c r="P83" s="158" t="s">
        <v>1146</v>
      </c>
      <c r="Q83" s="158" t="s">
        <v>1294</v>
      </c>
    </row>
    <row r="84" spans="1:17" x14ac:dyDescent="0.35">
      <c r="A84" s="158" t="s">
        <v>612</v>
      </c>
      <c r="B84" s="159" t="s">
        <v>613</v>
      </c>
      <c r="C84" s="159" t="s">
        <v>614</v>
      </c>
      <c r="D84" s="158" t="s">
        <v>615</v>
      </c>
      <c r="E84" s="158" t="s">
        <v>551</v>
      </c>
      <c r="F84" s="158" t="s">
        <v>526</v>
      </c>
      <c r="G84" s="158" t="s">
        <v>616</v>
      </c>
      <c r="H84" s="158" t="s">
        <v>616</v>
      </c>
      <c r="I84" s="158" t="s">
        <v>699</v>
      </c>
      <c r="J84" s="159" t="s">
        <v>847</v>
      </c>
      <c r="K84" s="158" t="s">
        <v>995</v>
      </c>
      <c r="L84" s="158" t="s">
        <v>616</v>
      </c>
      <c r="M84" s="158" t="s">
        <v>526</v>
      </c>
      <c r="N84" s="158" t="s">
        <v>1061</v>
      </c>
      <c r="O84" s="158" t="s">
        <v>503</v>
      </c>
      <c r="P84" s="158" t="s">
        <v>1147</v>
      </c>
      <c r="Q84" s="158" t="s">
        <v>1295</v>
      </c>
    </row>
    <row r="85" spans="1:17" x14ac:dyDescent="0.35">
      <c r="A85" s="158" t="s">
        <v>612</v>
      </c>
      <c r="B85" s="159" t="s">
        <v>613</v>
      </c>
      <c r="C85" s="159" t="s">
        <v>614</v>
      </c>
      <c r="D85" s="158" t="s">
        <v>615</v>
      </c>
      <c r="E85" s="158" t="s">
        <v>551</v>
      </c>
      <c r="F85" s="158" t="s">
        <v>526</v>
      </c>
      <c r="G85" s="158" t="s">
        <v>616</v>
      </c>
      <c r="H85" s="158" t="s">
        <v>616</v>
      </c>
      <c r="I85" s="158" t="s">
        <v>700</v>
      </c>
      <c r="J85" s="159" t="s">
        <v>848</v>
      </c>
      <c r="K85" s="158" t="s">
        <v>996</v>
      </c>
      <c r="L85" s="158" t="s">
        <v>616</v>
      </c>
      <c r="M85" s="158" t="s">
        <v>526</v>
      </c>
      <c r="N85" s="158" t="s">
        <v>1061</v>
      </c>
      <c r="O85" s="158" t="s">
        <v>431</v>
      </c>
      <c r="P85" s="158" t="s">
        <v>1148</v>
      </c>
      <c r="Q85" s="158" t="s">
        <v>1296</v>
      </c>
    </row>
    <row r="86" spans="1:17" x14ac:dyDescent="0.35">
      <c r="A86" s="158" t="s">
        <v>612</v>
      </c>
      <c r="B86" s="159" t="s">
        <v>613</v>
      </c>
      <c r="C86" s="159" t="s">
        <v>614</v>
      </c>
      <c r="D86" s="158" t="s">
        <v>615</v>
      </c>
      <c r="E86" s="158" t="s">
        <v>551</v>
      </c>
      <c r="F86" s="158" t="s">
        <v>526</v>
      </c>
      <c r="G86" s="158" t="s">
        <v>616</v>
      </c>
      <c r="H86" s="158" t="s">
        <v>616</v>
      </c>
      <c r="I86" s="158" t="s">
        <v>701</v>
      </c>
      <c r="J86" s="159" t="s">
        <v>849</v>
      </c>
      <c r="K86" s="158" t="s">
        <v>997</v>
      </c>
      <c r="L86" s="158" t="s">
        <v>616</v>
      </c>
      <c r="M86" s="158" t="s">
        <v>526</v>
      </c>
      <c r="N86" s="158" t="s">
        <v>1061</v>
      </c>
      <c r="O86" s="158" t="s">
        <v>1063</v>
      </c>
      <c r="P86" s="158" t="s">
        <v>1149</v>
      </c>
      <c r="Q86" s="158" t="s">
        <v>1297</v>
      </c>
    </row>
    <row r="87" spans="1:17" x14ac:dyDescent="0.35">
      <c r="A87" s="158" t="s">
        <v>612</v>
      </c>
      <c r="B87" s="159" t="s">
        <v>613</v>
      </c>
      <c r="C87" s="159" t="s">
        <v>614</v>
      </c>
      <c r="D87" s="158" t="s">
        <v>615</v>
      </c>
      <c r="E87" s="158" t="s">
        <v>551</v>
      </c>
      <c r="F87" s="158" t="s">
        <v>526</v>
      </c>
      <c r="G87" s="158" t="s">
        <v>616</v>
      </c>
      <c r="H87" s="158" t="s">
        <v>616</v>
      </c>
      <c r="I87" s="158" t="s">
        <v>702</v>
      </c>
      <c r="J87" s="159" t="s">
        <v>850</v>
      </c>
      <c r="K87" s="158" t="s">
        <v>998</v>
      </c>
      <c r="L87" s="158" t="s">
        <v>616</v>
      </c>
      <c r="M87" s="158" t="s">
        <v>526</v>
      </c>
      <c r="N87" s="158" t="s">
        <v>1061</v>
      </c>
      <c r="O87" s="158" t="s">
        <v>393</v>
      </c>
      <c r="P87" s="158" t="s">
        <v>1150</v>
      </c>
      <c r="Q87" s="158" t="s">
        <v>1298</v>
      </c>
    </row>
    <row r="88" spans="1:17" x14ac:dyDescent="0.35">
      <c r="A88" s="158" t="s">
        <v>612</v>
      </c>
      <c r="B88" s="159" t="s">
        <v>613</v>
      </c>
      <c r="C88" s="159" t="s">
        <v>614</v>
      </c>
      <c r="D88" s="158" t="s">
        <v>615</v>
      </c>
      <c r="E88" s="158" t="s">
        <v>551</v>
      </c>
      <c r="F88" s="158" t="s">
        <v>526</v>
      </c>
      <c r="G88" s="158" t="s">
        <v>616</v>
      </c>
      <c r="H88" s="158" t="s">
        <v>616</v>
      </c>
      <c r="I88" s="158" t="s">
        <v>703</v>
      </c>
      <c r="J88" s="159" t="s">
        <v>851</v>
      </c>
      <c r="K88" s="158" t="s">
        <v>999</v>
      </c>
      <c r="L88" s="158" t="s">
        <v>616</v>
      </c>
      <c r="M88" s="158" t="s">
        <v>526</v>
      </c>
      <c r="N88" s="158" t="s">
        <v>1061</v>
      </c>
      <c r="O88" s="158" t="s">
        <v>457</v>
      </c>
      <c r="P88" s="158" t="s">
        <v>1151</v>
      </c>
      <c r="Q88" s="158" t="s">
        <v>1299</v>
      </c>
    </row>
    <row r="89" spans="1:17" x14ac:dyDescent="0.35">
      <c r="A89" s="158" t="s">
        <v>612</v>
      </c>
      <c r="B89" s="159" t="s">
        <v>613</v>
      </c>
      <c r="C89" s="159" t="s">
        <v>614</v>
      </c>
      <c r="D89" s="158" t="s">
        <v>615</v>
      </c>
      <c r="E89" s="158" t="s">
        <v>551</v>
      </c>
      <c r="F89" s="158" t="s">
        <v>526</v>
      </c>
      <c r="G89" s="158" t="s">
        <v>616</v>
      </c>
      <c r="H89" s="158" t="s">
        <v>616</v>
      </c>
      <c r="I89" s="158" t="s">
        <v>704</v>
      </c>
      <c r="J89" s="159" t="s">
        <v>852</v>
      </c>
      <c r="K89" s="158" t="s">
        <v>1000</v>
      </c>
      <c r="L89" s="158" t="s">
        <v>616</v>
      </c>
      <c r="M89" s="158" t="s">
        <v>526</v>
      </c>
      <c r="N89" s="158" t="s">
        <v>1061</v>
      </c>
      <c r="O89" s="158" t="s">
        <v>409</v>
      </c>
      <c r="P89" s="158" t="s">
        <v>1152</v>
      </c>
      <c r="Q89" s="158" t="s">
        <v>1257</v>
      </c>
    </row>
    <row r="90" spans="1:17" x14ac:dyDescent="0.35">
      <c r="A90" s="158" t="s">
        <v>612</v>
      </c>
      <c r="B90" s="159" t="s">
        <v>613</v>
      </c>
      <c r="C90" s="159" t="s">
        <v>614</v>
      </c>
      <c r="D90" s="158" t="s">
        <v>615</v>
      </c>
      <c r="E90" s="158" t="s">
        <v>551</v>
      </c>
      <c r="F90" s="158" t="s">
        <v>526</v>
      </c>
      <c r="G90" s="158" t="s">
        <v>616</v>
      </c>
      <c r="H90" s="158" t="s">
        <v>616</v>
      </c>
      <c r="I90" s="158" t="s">
        <v>705</v>
      </c>
      <c r="J90" s="159" t="s">
        <v>853</v>
      </c>
      <c r="K90" s="158" t="s">
        <v>1001</v>
      </c>
      <c r="L90" s="158" t="s">
        <v>616</v>
      </c>
      <c r="M90" s="158" t="s">
        <v>526</v>
      </c>
      <c r="N90" s="158" t="s">
        <v>1061</v>
      </c>
      <c r="O90" s="158" t="s">
        <v>517</v>
      </c>
      <c r="P90" s="158" t="s">
        <v>1153</v>
      </c>
      <c r="Q90" s="158" t="s">
        <v>1300</v>
      </c>
    </row>
    <row r="91" spans="1:17" x14ac:dyDescent="0.35">
      <c r="A91" s="158" t="s">
        <v>612</v>
      </c>
      <c r="B91" s="159" t="s">
        <v>613</v>
      </c>
      <c r="C91" s="159" t="s">
        <v>614</v>
      </c>
      <c r="D91" s="158" t="s">
        <v>615</v>
      </c>
      <c r="E91" s="158" t="s">
        <v>551</v>
      </c>
      <c r="F91" s="158" t="s">
        <v>526</v>
      </c>
      <c r="G91" s="158" t="s">
        <v>616</v>
      </c>
      <c r="H91" s="158" t="s">
        <v>616</v>
      </c>
      <c r="I91" s="158" t="s">
        <v>706</v>
      </c>
      <c r="J91" s="159" t="s">
        <v>854</v>
      </c>
      <c r="K91" s="158" t="s">
        <v>1002</v>
      </c>
      <c r="L91" s="158" t="s">
        <v>616</v>
      </c>
      <c r="M91" s="158" t="s">
        <v>526</v>
      </c>
      <c r="N91" s="158" t="s">
        <v>1061</v>
      </c>
      <c r="O91" s="158" t="s">
        <v>1064</v>
      </c>
      <c r="P91" s="158" t="s">
        <v>1154</v>
      </c>
      <c r="Q91" s="158" t="s">
        <v>1301</v>
      </c>
    </row>
    <row r="92" spans="1:17" x14ac:dyDescent="0.35">
      <c r="A92" s="158" t="s">
        <v>612</v>
      </c>
      <c r="B92" s="159" t="s">
        <v>613</v>
      </c>
      <c r="C92" s="159" t="s">
        <v>614</v>
      </c>
      <c r="D92" s="158" t="s">
        <v>615</v>
      </c>
      <c r="E92" s="158" t="s">
        <v>551</v>
      </c>
      <c r="F92" s="158" t="s">
        <v>526</v>
      </c>
      <c r="G92" s="158" t="s">
        <v>616</v>
      </c>
      <c r="H92" s="158" t="s">
        <v>616</v>
      </c>
      <c r="I92" s="158" t="s">
        <v>707</v>
      </c>
      <c r="J92" s="159" t="s">
        <v>855</v>
      </c>
      <c r="K92" s="158" t="s">
        <v>1003</v>
      </c>
      <c r="L92" s="158" t="s">
        <v>616</v>
      </c>
      <c r="M92" s="158" t="s">
        <v>526</v>
      </c>
      <c r="N92" s="158" t="s">
        <v>1061</v>
      </c>
      <c r="O92" s="158" t="s">
        <v>417</v>
      </c>
      <c r="P92" s="158" t="s">
        <v>1155</v>
      </c>
      <c r="Q92" s="158" t="s">
        <v>1302</v>
      </c>
    </row>
    <row r="93" spans="1:17" x14ac:dyDescent="0.35">
      <c r="A93" s="158" t="s">
        <v>612</v>
      </c>
      <c r="B93" s="159" t="s">
        <v>613</v>
      </c>
      <c r="C93" s="159" t="s">
        <v>614</v>
      </c>
      <c r="D93" s="158" t="s">
        <v>615</v>
      </c>
      <c r="E93" s="158" t="s">
        <v>551</v>
      </c>
      <c r="F93" s="158" t="s">
        <v>526</v>
      </c>
      <c r="G93" s="158" t="s">
        <v>616</v>
      </c>
      <c r="H93" s="158" t="s">
        <v>616</v>
      </c>
      <c r="I93" s="158" t="s">
        <v>708</v>
      </c>
      <c r="J93" s="159" t="s">
        <v>856</v>
      </c>
      <c r="K93" s="158" t="s">
        <v>1004</v>
      </c>
      <c r="L93" s="158" t="s">
        <v>616</v>
      </c>
      <c r="M93" s="158" t="s">
        <v>526</v>
      </c>
      <c r="N93" s="158" t="s">
        <v>1061</v>
      </c>
      <c r="O93" s="158" t="s">
        <v>458</v>
      </c>
      <c r="P93" s="158" t="s">
        <v>1156</v>
      </c>
      <c r="Q93" s="158" t="s">
        <v>1303</v>
      </c>
    </row>
    <row r="94" spans="1:17" x14ac:dyDescent="0.35">
      <c r="A94" s="158" t="s">
        <v>612</v>
      </c>
      <c r="B94" s="159" t="s">
        <v>613</v>
      </c>
      <c r="C94" s="159" t="s">
        <v>614</v>
      </c>
      <c r="D94" s="158" t="s">
        <v>615</v>
      </c>
      <c r="E94" s="158" t="s">
        <v>551</v>
      </c>
      <c r="F94" s="158" t="s">
        <v>526</v>
      </c>
      <c r="G94" s="158" t="s">
        <v>616</v>
      </c>
      <c r="H94" s="158" t="s">
        <v>616</v>
      </c>
      <c r="I94" s="158" t="s">
        <v>709</v>
      </c>
      <c r="J94" s="159" t="s">
        <v>857</v>
      </c>
      <c r="K94" s="158" t="s">
        <v>1005</v>
      </c>
      <c r="L94" s="158" t="s">
        <v>616</v>
      </c>
      <c r="M94" s="158" t="s">
        <v>526</v>
      </c>
      <c r="N94" s="158" t="s">
        <v>1061</v>
      </c>
      <c r="O94" s="158" t="s">
        <v>416</v>
      </c>
      <c r="P94" s="158" t="s">
        <v>1157</v>
      </c>
      <c r="Q94" s="158" t="s">
        <v>1250</v>
      </c>
    </row>
    <row r="95" spans="1:17" x14ac:dyDescent="0.35">
      <c r="A95" s="158" t="s">
        <v>612</v>
      </c>
      <c r="B95" s="159" t="s">
        <v>613</v>
      </c>
      <c r="C95" s="159" t="s">
        <v>614</v>
      </c>
      <c r="D95" s="158" t="s">
        <v>615</v>
      </c>
      <c r="E95" s="158" t="s">
        <v>551</v>
      </c>
      <c r="F95" s="158" t="s">
        <v>526</v>
      </c>
      <c r="G95" s="158" t="s">
        <v>616</v>
      </c>
      <c r="H95" s="158" t="s">
        <v>616</v>
      </c>
      <c r="I95" s="158" t="s">
        <v>710</v>
      </c>
      <c r="J95" s="159" t="s">
        <v>858</v>
      </c>
      <c r="K95" s="158" t="s">
        <v>1006</v>
      </c>
      <c r="L95" s="158" t="s">
        <v>616</v>
      </c>
      <c r="M95" s="158" t="s">
        <v>526</v>
      </c>
      <c r="N95" s="158" t="s">
        <v>1061</v>
      </c>
      <c r="O95" s="158" t="s">
        <v>398</v>
      </c>
      <c r="P95" s="158" t="s">
        <v>1158</v>
      </c>
      <c r="Q95" s="158" t="s">
        <v>1304</v>
      </c>
    </row>
    <row r="96" spans="1:17" x14ac:dyDescent="0.35">
      <c r="A96" s="158" t="s">
        <v>612</v>
      </c>
      <c r="B96" s="159" t="s">
        <v>613</v>
      </c>
      <c r="C96" s="159" t="s">
        <v>614</v>
      </c>
      <c r="D96" s="158" t="s">
        <v>615</v>
      </c>
      <c r="E96" s="158" t="s">
        <v>551</v>
      </c>
      <c r="F96" s="158" t="s">
        <v>526</v>
      </c>
      <c r="G96" s="158" t="s">
        <v>616</v>
      </c>
      <c r="H96" s="158" t="s">
        <v>616</v>
      </c>
      <c r="I96" s="158" t="s">
        <v>711</v>
      </c>
      <c r="J96" s="159" t="s">
        <v>859</v>
      </c>
      <c r="K96" s="158" t="s">
        <v>1007</v>
      </c>
      <c r="L96" s="158" t="s">
        <v>616</v>
      </c>
      <c r="M96" s="158" t="s">
        <v>526</v>
      </c>
      <c r="N96" s="158" t="s">
        <v>1061</v>
      </c>
      <c r="O96" s="158" t="s">
        <v>463</v>
      </c>
      <c r="P96" s="158" t="s">
        <v>1159</v>
      </c>
      <c r="Q96" s="158" t="s">
        <v>1305</v>
      </c>
    </row>
    <row r="97" spans="1:17" x14ac:dyDescent="0.35">
      <c r="A97" s="158" t="s">
        <v>612</v>
      </c>
      <c r="B97" s="159" t="s">
        <v>613</v>
      </c>
      <c r="C97" s="159" t="s">
        <v>614</v>
      </c>
      <c r="D97" s="158" t="s">
        <v>615</v>
      </c>
      <c r="E97" s="158" t="s">
        <v>551</v>
      </c>
      <c r="F97" s="158" t="s">
        <v>526</v>
      </c>
      <c r="G97" s="158" t="s">
        <v>616</v>
      </c>
      <c r="H97" s="158" t="s">
        <v>616</v>
      </c>
      <c r="I97" s="158" t="s">
        <v>712</v>
      </c>
      <c r="J97" s="159" t="s">
        <v>860</v>
      </c>
      <c r="K97" s="158" t="s">
        <v>1008</v>
      </c>
      <c r="L97" s="158" t="s">
        <v>616</v>
      </c>
      <c r="M97" s="158" t="s">
        <v>526</v>
      </c>
      <c r="N97" s="158" t="s">
        <v>1061</v>
      </c>
      <c r="O97" s="158" t="s">
        <v>480</v>
      </c>
      <c r="P97" s="158" t="s">
        <v>1160</v>
      </c>
      <c r="Q97" s="158" t="s">
        <v>1306</v>
      </c>
    </row>
    <row r="98" spans="1:17" x14ac:dyDescent="0.35">
      <c r="A98" s="158" t="s">
        <v>612</v>
      </c>
      <c r="B98" s="159" t="s">
        <v>613</v>
      </c>
      <c r="C98" s="159" t="s">
        <v>614</v>
      </c>
      <c r="D98" s="158" t="s">
        <v>615</v>
      </c>
      <c r="E98" s="158" t="s">
        <v>551</v>
      </c>
      <c r="F98" s="158" t="s">
        <v>526</v>
      </c>
      <c r="G98" s="158" t="s">
        <v>616</v>
      </c>
      <c r="H98" s="158" t="s">
        <v>616</v>
      </c>
      <c r="I98" s="158" t="s">
        <v>713</v>
      </c>
      <c r="J98" s="159" t="s">
        <v>861</v>
      </c>
      <c r="K98" s="158" t="s">
        <v>1009</v>
      </c>
      <c r="L98" s="158" t="s">
        <v>616</v>
      </c>
      <c r="M98" s="158" t="s">
        <v>526</v>
      </c>
      <c r="N98" s="158" t="s">
        <v>1061</v>
      </c>
      <c r="O98" s="158" t="s">
        <v>511</v>
      </c>
      <c r="P98" s="158" t="s">
        <v>1161</v>
      </c>
      <c r="Q98" s="158" t="s">
        <v>1307</v>
      </c>
    </row>
    <row r="99" spans="1:17" x14ac:dyDescent="0.35">
      <c r="A99" s="158" t="s">
        <v>612</v>
      </c>
      <c r="B99" s="159" t="s">
        <v>613</v>
      </c>
      <c r="C99" s="159" t="s">
        <v>614</v>
      </c>
      <c r="D99" s="158" t="s">
        <v>615</v>
      </c>
      <c r="E99" s="158" t="s">
        <v>551</v>
      </c>
      <c r="F99" s="158" t="s">
        <v>526</v>
      </c>
      <c r="G99" s="158" t="s">
        <v>616</v>
      </c>
      <c r="H99" s="158" t="s">
        <v>616</v>
      </c>
      <c r="I99" s="158" t="s">
        <v>714</v>
      </c>
      <c r="J99" s="159" t="s">
        <v>862</v>
      </c>
      <c r="K99" s="158" t="s">
        <v>1010</v>
      </c>
      <c r="L99" s="158" t="s">
        <v>616</v>
      </c>
      <c r="M99" s="158" t="s">
        <v>526</v>
      </c>
      <c r="N99" s="158" t="s">
        <v>1061</v>
      </c>
      <c r="O99" s="158" t="s">
        <v>522</v>
      </c>
      <c r="P99" s="158" t="s">
        <v>1162</v>
      </c>
      <c r="Q99" s="158" t="s">
        <v>1308</v>
      </c>
    </row>
    <row r="100" spans="1:17" x14ac:dyDescent="0.35">
      <c r="A100" s="158" t="s">
        <v>612</v>
      </c>
      <c r="B100" s="159" t="s">
        <v>613</v>
      </c>
      <c r="C100" s="159" t="s">
        <v>614</v>
      </c>
      <c r="D100" s="158" t="s">
        <v>615</v>
      </c>
      <c r="E100" s="158" t="s">
        <v>551</v>
      </c>
      <c r="F100" s="158" t="s">
        <v>526</v>
      </c>
      <c r="G100" s="158" t="s">
        <v>616</v>
      </c>
      <c r="H100" s="158" t="s">
        <v>616</v>
      </c>
      <c r="I100" s="158" t="s">
        <v>715</v>
      </c>
      <c r="J100" s="159" t="s">
        <v>863</v>
      </c>
      <c r="K100" s="158" t="s">
        <v>1011</v>
      </c>
      <c r="L100" s="158" t="s">
        <v>616</v>
      </c>
      <c r="M100" s="158" t="s">
        <v>526</v>
      </c>
      <c r="N100" s="158" t="s">
        <v>1061</v>
      </c>
      <c r="O100" s="158" t="s">
        <v>491</v>
      </c>
      <c r="P100" s="158" t="s">
        <v>1163</v>
      </c>
      <c r="Q100" s="158" t="s">
        <v>1309</v>
      </c>
    </row>
    <row r="101" spans="1:17" x14ac:dyDescent="0.35">
      <c r="A101" s="158" t="s">
        <v>612</v>
      </c>
      <c r="B101" s="159" t="s">
        <v>613</v>
      </c>
      <c r="C101" s="159" t="s">
        <v>614</v>
      </c>
      <c r="D101" s="158" t="s">
        <v>615</v>
      </c>
      <c r="E101" s="158" t="s">
        <v>551</v>
      </c>
      <c r="F101" s="158" t="s">
        <v>526</v>
      </c>
      <c r="G101" s="158" t="s">
        <v>616</v>
      </c>
      <c r="H101" s="158" t="s">
        <v>616</v>
      </c>
      <c r="I101" s="158" t="s">
        <v>716</v>
      </c>
      <c r="J101" s="159" t="s">
        <v>864</v>
      </c>
      <c r="K101" s="158" t="s">
        <v>1012</v>
      </c>
      <c r="L101" s="158" t="s">
        <v>616</v>
      </c>
      <c r="M101" s="158" t="s">
        <v>526</v>
      </c>
      <c r="N101" s="158" t="s">
        <v>1061</v>
      </c>
      <c r="O101" s="158" t="s">
        <v>445</v>
      </c>
      <c r="P101" s="158" t="s">
        <v>1164</v>
      </c>
      <c r="Q101" s="158" t="s">
        <v>1310</v>
      </c>
    </row>
    <row r="102" spans="1:17" x14ac:dyDescent="0.35">
      <c r="A102" s="158" t="s">
        <v>612</v>
      </c>
      <c r="B102" s="159" t="s">
        <v>613</v>
      </c>
      <c r="C102" s="159" t="s">
        <v>614</v>
      </c>
      <c r="D102" s="158" t="s">
        <v>615</v>
      </c>
      <c r="E102" s="158" t="s">
        <v>551</v>
      </c>
      <c r="F102" s="158" t="s">
        <v>526</v>
      </c>
      <c r="G102" s="158" t="s">
        <v>616</v>
      </c>
      <c r="H102" s="158" t="s">
        <v>616</v>
      </c>
      <c r="I102" s="158" t="s">
        <v>717</v>
      </c>
      <c r="J102" s="159" t="s">
        <v>865</v>
      </c>
      <c r="K102" s="158" t="s">
        <v>1013</v>
      </c>
      <c r="L102" s="158" t="s">
        <v>616</v>
      </c>
      <c r="M102" s="158" t="s">
        <v>526</v>
      </c>
      <c r="N102" s="158" t="s">
        <v>1061</v>
      </c>
      <c r="O102" s="158" t="s">
        <v>477</v>
      </c>
      <c r="P102" s="158" t="s">
        <v>1165</v>
      </c>
      <c r="Q102" s="158" t="s">
        <v>1311</v>
      </c>
    </row>
    <row r="103" spans="1:17" x14ac:dyDescent="0.35">
      <c r="A103" s="158" t="s">
        <v>612</v>
      </c>
      <c r="B103" s="159" t="s">
        <v>613</v>
      </c>
      <c r="C103" s="159" t="s">
        <v>614</v>
      </c>
      <c r="D103" s="158" t="s">
        <v>615</v>
      </c>
      <c r="E103" s="158" t="s">
        <v>551</v>
      </c>
      <c r="F103" s="158" t="s">
        <v>526</v>
      </c>
      <c r="G103" s="158" t="s">
        <v>616</v>
      </c>
      <c r="H103" s="158" t="s">
        <v>616</v>
      </c>
      <c r="I103" s="158" t="s">
        <v>718</v>
      </c>
      <c r="J103" s="159" t="s">
        <v>866</v>
      </c>
      <c r="K103" s="158" t="s">
        <v>1014</v>
      </c>
      <c r="L103" s="158" t="s">
        <v>616</v>
      </c>
      <c r="M103" s="158" t="s">
        <v>526</v>
      </c>
      <c r="N103" s="158" t="s">
        <v>1061</v>
      </c>
      <c r="O103" s="158" t="s">
        <v>388</v>
      </c>
      <c r="P103" s="158" t="s">
        <v>1166</v>
      </c>
      <c r="Q103" s="158" t="s">
        <v>1312</v>
      </c>
    </row>
    <row r="104" spans="1:17" x14ac:dyDescent="0.35">
      <c r="A104" s="158" t="s">
        <v>612</v>
      </c>
      <c r="B104" s="159" t="s">
        <v>613</v>
      </c>
      <c r="C104" s="159" t="s">
        <v>614</v>
      </c>
      <c r="D104" s="158" t="s">
        <v>615</v>
      </c>
      <c r="E104" s="158" t="s">
        <v>551</v>
      </c>
      <c r="F104" s="158" t="s">
        <v>526</v>
      </c>
      <c r="G104" s="158" t="s">
        <v>616</v>
      </c>
      <c r="H104" s="158" t="s">
        <v>616</v>
      </c>
      <c r="I104" s="158" t="s">
        <v>719</v>
      </c>
      <c r="J104" s="159" t="s">
        <v>867</v>
      </c>
      <c r="K104" s="158" t="s">
        <v>1015</v>
      </c>
      <c r="L104" s="158" t="s">
        <v>616</v>
      </c>
      <c r="M104" s="158" t="s">
        <v>526</v>
      </c>
      <c r="N104" s="158" t="s">
        <v>1061</v>
      </c>
      <c r="O104" s="158" t="s">
        <v>453</v>
      </c>
      <c r="P104" s="158" t="s">
        <v>1167</v>
      </c>
      <c r="Q104" s="158" t="s">
        <v>1313</v>
      </c>
    </row>
    <row r="105" spans="1:17" x14ac:dyDescent="0.35">
      <c r="A105" s="158" t="s">
        <v>612</v>
      </c>
      <c r="B105" s="159" t="s">
        <v>613</v>
      </c>
      <c r="C105" s="159" t="s">
        <v>614</v>
      </c>
      <c r="D105" s="158" t="s">
        <v>615</v>
      </c>
      <c r="E105" s="158" t="s">
        <v>551</v>
      </c>
      <c r="F105" s="158" t="s">
        <v>526</v>
      </c>
      <c r="G105" s="158" t="s">
        <v>616</v>
      </c>
      <c r="H105" s="158" t="s">
        <v>616</v>
      </c>
      <c r="I105" s="158" t="s">
        <v>720</v>
      </c>
      <c r="J105" s="159" t="s">
        <v>868</v>
      </c>
      <c r="K105" s="158" t="s">
        <v>1016</v>
      </c>
      <c r="L105" s="158" t="s">
        <v>616</v>
      </c>
      <c r="M105" s="158" t="s">
        <v>526</v>
      </c>
      <c r="N105" s="158" t="s">
        <v>1061</v>
      </c>
      <c r="O105" s="158" t="s">
        <v>481</v>
      </c>
      <c r="P105" s="158" t="s">
        <v>1168</v>
      </c>
      <c r="Q105" s="158" t="s">
        <v>1314</v>
      </c>
    </row>
    <row r="106" spans="1:17" x14ac:dyDescent="0.35">
      <c r="A106" s="158" t="s">
        <v>612</v>
      </c>
      <c r="B106" s="159" t="s">
        <v>613</v>
      </c>
      <c r="C106" s="159" t="s">
        <v>614</v>
      </c>
      <c r="D106" s="158" t="s">
        <v>615</v>
      </c>
      <c r="E106" s="158" t="s">
        <v>551</v>
      </c>
      <c r="F106" s="158" t="s">
        <v>526</v>
      </c>
      <c r="G106" s="158" t="s">
        <v>616</v>
      </c>
      <c r="H106" s="158" t="s">
        <v>616</v>
      </c>
      <c r="I106" s="158" t="s">
        <v>721</v>
      </c>
      <c r="J106" s="159" t="s">
        <v>869</v>
      </c>
      <c r="K106" s="158" t="s">
        <v>1017</v>
      </c>
      <c r="L106" s="158" t="s">
        <v>616</v>
      </c>
      <c r="M106" s="158" t="s">
        <v>526</v>
      </c>
      <c r="N106" s="158" t="s">
        <v>1061</v>
      </c>
      <c r="O106" s="158" t="s">
        <v>394</v>
      </c>
      <c r="P106" s="158" t="s">
        <v>1169</v>
      </c>
      <c r="Q106" s="158" t="s">
        <v>1315</v>
      </c>
    </row>
    <row r="107" spans="1:17" x14ac:dyDescent="0.35">
      <c r="A107" s="158" t="s">
        <v>612</v>
      </c>
      <c r="B107" s="159" t="s">
        <v>613</v>
      </c>
      <c r="C107" s="159" t="s">
        <v>614</v>
      </c>
      <c r="D107" s="158" t="s">
        <v>615</v>
      </c>
      <c r="E107" s="158" t="s">
        <v>551</v>
      </c>
      <c r="F107" s="158" t="s">
        <v>526</v>
      </c>
      <c r="G107" s="158" t="s">
        <v>616</v>
      </c>
      <c r="H107" s="158" t="s">
        <v>616</v>
      </c>
      <c r="I107" s="158" t="s">
        <v>722</v>
      </c>
      <c r="J107" s="159" t="s">
        <v>870</v>
      </c>
      <c r="K107" s="158" t="s">
        <v>1018</v>
      </c>
      <c r="L107" s="158" t="s">
        <v>616</v>
      </c>
      <c r="M107" s="158" t="s">
        <v>526</v>
      </c>
      <c r="N107" s="158" t="s">
        <v>1061</v>
      </c>
      <c r="O107" s="158" t="s">
        <v>483</v>
      </c>
      <c r="P107" s="158" t="s">
        <v>1170</v>
      </c>
      <c r="Q107" s="158" t="s">
        <v>1316</v>
      </c>
    </row>
    <row r="108" spans="1:17" x14ac:dyDescent="0.35">
      <c r="A108" s="158" t="s">
        <v>612</v>
      </c>
      <c r="B108" s="159" t="s">
        <v>613</v>
      </c>
      <c r="C108" s="159" t="s">
        <v>614</v>
      </c>
      <c r="D108" s="158" t="s">
        <v>615</v>
      </c>
      <c r="E108" s="158" t="s">
        <v>551</v>
      </c>
      <c r="F108" s="158" t="s">
        <v>526</v>
      </c>
      <c r="G108" s="158" t="s">
        <v>616</v>
      </c>
      <c r="H108" s="158" t="s">
        <v>616</v>
      </c>
      <c r="I108" s="158" t="s">
        <v>723</v>
      </c>
      <c r="J108" s="159" t="s">
        <v>871</v>
      </c>
      <c r="K108" s="158" t="s">
        <v>1019</v>
      </c>
      <c r="L108" s="158" t="s">
        <v>616</v>
      </c>
      <c r="M108" s="158" t="s">
        <v>526</v>
      </c>
      <c r="N108" s="158" t="s">
        <v>1061</v>
      </c>
      <c r="O108" s="158" t="s">
        <v>389</v>
      </c>
      <c r="P108" s="158" t="s">
        <v>1171</v>
      </c>
      <c r="Q108" s="158" t="s">
        <v>1317</v>
      </c>
    </row>
    <row r="109" spans="1:17" x14ac:dyDescent="0.35">
      <c r="A109" s="158" t="s">
        <v>612</v>
      </c>
      <c r="B109" s="159" t="s">
        <v>613</v>
      </c>
      <c r="C109" s="159" t="s">
        <v>614</v>
      </c>
      <c r="D109" s="158" t="s">
        <v>615</v>
      </c>
      <c r="E109" s="158" t="s">
        <v>551</v>
      </c>
      <c r="F109" s="158" t="s">
        <v>526</v>
      </c>
      <c r="G109" s="158" t="s">
        <v>616</v>
      </c>
      <c r="H109" s="158" t="s">
        <v>616</v>
      </c>
      <c r="I109" s="158" t="s">
        <v>724</v>
      </c>
      <c r="J109" s="159" t="s">
        <v>872</v>
      </c>
      <c r="K109" s="158" t="s">
        <v>1020</v>
      </c>
      <c r="L109" s="158" t="s">
        <v>616</v>
      </c>
      <c r="M109" s="158" t="s">
        <v>526</v>
      </c>
      <c r="N109" s="158" t="s">
        <v>1061</v>
      </c>
      <c r="O109" s="158" t="s">
        <v>403</v>
      </c>
      <c r="P109" s="158" t="s">
        <v>1172</v>
      </c>
      <c r="Q109" s="158" t="s">
        <v>1250</v>
      </c>
    </row>
    <row r="110" spans="1:17" x14ac:dyDescent="0.35">
      <c r="A110" s="158" t="s">
        <v>612</v>
      </c>
      <c r="B110" s="159" t="s">
        <v>613</v>
      </c>
      <c r="C110" s="159" t="s">
        <v>614</v>
      </c>
      <c r="D110" s="158" t="s">
        <v>615</v>
      </c>
      <c r="E110" s="158" t="s">
        <v>551</v>
      </c>
      <c r="F110" s="158" t="s">
        <v>526</v>
      </c>
      <c r="G110" s="158" t="s">
        <v>616</v>
      </c>
      <c r="H110" s="158" t="s">
        <v>616</v>
      </c>
      <c r="I110" s="158" t="s">
        <v>725</v>
      </c>
      <c r="J110" s="159" t="s">
        <v>873</v>
      </c>
      <c r="K110" s="158" t="s">
        <v>1021</v>
      </c>
      <c r="L110" s="158" t="s">
        <v>616</v>
      </c>
      <c r="M110" s="158" t="s">
        <v>526</v>
      </c>
      <c r="N110" s="158" t="s">
        <v>1061</v>
      </c>
      <c r="O110" s="158" t="s">
        <v>454</v>
      </c>
      <c r="P110" s="158" t="s">
        <v>1173</v>
      </c>
      <c r="Q110" s="158" t="s">
        <v>1318</v>
      </c>
    </row>
    <row r="111" spans="1:17" x14ac:dyDescent="0.35">
      <c r="A111" s="158" t="s">
        <v>612</v>
      </c>
      <c r="B111" s="159" t="s">
        <v>613</v>
      </c>
      <c r="C111" s="159" t="s">
        <v>614</v>
      </c>
      <c r="D111" s="158" t="s">
        <v>615</v>
      </c>
      <c r="E111" s="158" t="s">
        <v>551</v>
      </c>
      <c r="F111" s="158" t="s">
        <v>526</v>
      </c>
      <c r="G111" s="158" t="s">
        <v>616</v>
      </c>
      <c r="H111" s="158" t="s">
        <v>616</v>
      </c>
      <c r="I111" s="158" t="s">
        <v>726</v>
      </c>
      <c r="J111" s="159" t="s">
        <v>874</v>
      </c>
      <c r="K111" s="158" t="s">
        <v>1022</v>
      </c>
      <c r="L111" s="158" t="s">
        <v>616</v>
      </c>
      <c r="M111" s="158" t="s">
        <v>526</v>
      </c>
      <c r="N111" s="158" t="s">
        <v>1061</v>
      </c>
      <c r="O111" s="158" t="s">
        <v>386</v>
      </c>
      <c r="P111" s="158" t="s">
        <v>1174</v>
      </c>
      <c r="Q111" s="158" t="s">
        <v>1319</v>
      </c>
    </row>
    <row r="112" spans="1:17" x14ac:dyDescent="0.35">
      <c r="A112" s="158" t="s">
        <v>612</v>
      </c>
      <c r="B112" s="159" t="s">
        <v>613</v>
      </c>
      <c r="C112" s="159" t="s">
        <v>614</v>
      </c>
      <c r="D112" s="158" t="s">
        <v>615</v>
      </c>
      <c r="E112" s="158" t="s">
        <v>551</v>
      </c>
      <c r="F112" s="158" t="s">
        <v>526</v>
      </c>
      <c r="G112" s="158" t="s">
        <v>616</v>
      </c>
      <c r="H112" s="158" t="s">
        <v>616</v>
      </c>
      <c r="I112" s="158" t="s">
        <v>727</v>
      </c>
      <c r="J112" s="159" t="s">
        <v>875</v>
      </c>
      <c r="K112" s="158" t="s">
        <v>1023</v>
      </c>
      <c r="L112" s="158" t="s">
        <v>616</v>
      </c>
      <c r="M112" s="158" t="s">
        <v>526</v>
      </c>
      <c r="N112" s="158" t="s">
        <v>1061</v>
      </c>
      <c r="O112" s="158" t="s">
        <v>451</v>
      </c>
      <c r="P112" s="158" t="s">
        <v>1175</v>
      </c>
      <c r="Q112" s="158" t="s">
        <v>1320</v>
      </c>
    </row>
    <row r="113" spans="1:17" x14ac:dyDescent="0.35">
      <c r="A113" s="158" t="s">
        <v>612</v>
      </c>
      <c r="B113" s="159" t="s">
        <v>613</v>
      </c>
      <c r="C113" s="159" t="s">
        <v>614</v>
      </c>
      <c r="D113" s="158" t="s">
        <v>615</v>
      </c>
      <c r="E113" s="158" t="s">
        <v>551</v>
      </c>
      <c r="F113" s="158" t="s">
        <v>526</v>
      </c>
      <c r="G113" s="158" t="s">
        <v>616</v>
      </c>
      <c r="H113" s="158" t="s">
        <v>616</v>
      </c>
      <c r="I113" s="158" t="s">
        <v>728</v>
      </c>
      <c r="J113" s="159" t="s">
        <v>876</v>
      </c>
      <c r="K113" s="158" t="s">
        <v>1024</v>
      </c>
      <c r="L113" s="158" t="s">
        <v>616</v>
      </c>
      <c r="M113" s="158" t="s">
        <v>526</v>
      </c>
      <c r="N113" s="158" t="s">
        <v>1061</v>
      </c>
      <c r="O113" s="158" t="s">
        <v>419</v>
      </c>
      <c r="P113" s="158" t="s">
        <v>1176</v>
      </c>
      <c r="Q113" s="158" t="s">
        <v>1321</v>
      </c>
    </row>
    <row r="114" spans="1:17" x14ac:dyDescent="0.35">
      <c r="A114" s="158" t="s">
        <v>612</v>
      </c>
      <c r="B114" s="159" t="s">
        <v>613</v>
      </c>
      <c r="C114" s="159" t="s">
        <v>614</v>
      </c>
      <c r="D114" s="158" t="s">
        <v>615</v>
      </c>
      <c r="E114" s="158" t="s">
        <v>551</v>
      </c>
      <c r="F114" s="158" t="s">
        <v>526</v>
      </c>
      <c r="G114" s="158" t="s">
        <v>616</v>
      </c>
      <c r="H114" s="158" t="s">
        <v>616</v>
      </c>
      <c r="I114" s="158" t="s">
        <v>729</v>
      </c>
      <c r="J114" s="159" t="s">
        <v>877</v>
      </c>
      <c r="K114" s="158" t="s">
        <v>1025</v>
      </c>
      <c r="L114" s="158" t="s">
        <v>616</v>
      </c>
      <c r="M114" s="158" t="s">
        <v>526</v>
      </c>
      <c r="N114" s="158" t="s">
        <v>1061</v>
      </c>
      <c r="O114" s="158" t="s">
        <v>489</v>
      </c>
      <c r="P114" s="158" t="s">
        <v>1177</v>
      </c>
      <c r="Q114" s="158" t="s">
        <v>1322</v>
      </c>
    </row>
    <row r="115" spans="1:17" x14ac:dyDescent="0.35">
      <c r="A115" s="158" t="s">
        <v>612</v>
      </c>
      <c r="B115" s="159" t="s">
        <v>613</v>
      </c>
      <c r="C115" s="159" t="s">
        <v>614</v>
      </c>
      <c r="D115" s="158" t="s">
        <v>615</v>
      </c>
      <c r="E115" s="158" t="s">
        <v>551</v>
      </c>
      <c r="F115" s="158" t="s">
        <v>526</v>
      </c>
      <c r="G115" s="158" t="s">
        <v>616</v>
      </c>
      <c r="H115" s="158" t="s">
        <v>616</v>
      </c>
      <c r="I115" s="158" t="s">
        <v>730</v>
      </c>
      <c r="J115" s="159" t="s">
        <v>878</v>
      </c>
      <c r="K115" s="158" t="s">
        <v>1026</v>
      </c>
      <c r="L115" s="158" t="s">
        <v>616</v>
      </c>
      <c r="M115" s="158" t="s">
        <v>526</v>
      </c>
      <c r="N115" s="158" t="s">
        <v>1061</v>
      </c>
      <c r="O115" s="158" t="s">
        <v>397</v>
      </c>
      <c r="P115" s="158" t="s">
        <v>1178</v>
      </c>
      <c r="Q115" s="158" t="s">
        <v>1323</v>
      </c>
    </row>
    <row r="116" spans="1:17" x14ac:dyDescent="0.35">
      <c r="A116" s="158" t="s">
        <v>612</v>
      </c>
      <c r="B116" s="159" t="s">
        <v>613</v>
      </c>
      <c r="C116" s="159" t="s">
        <v>614</v>
      </c>
      <c r="D116" s="158" t="s">
        <v>615</v>
      </c>
      <c r="E116" s="158" t="s">
        <v>551</v>
      </c>
      <c r="F116" s="158" t="s">
        <v>526</v>
      </c>
      <c r="G116" s="158" t="s">
        <v>616</v>
      </c>
      <c r="H116" s="158" t="s">
        <v>616</v>
      </c>
      <c r="I116" s="158" t="s">
        <v>731</v>
      </c>
      <c r="J116" s="159" t="s">
        <v>879</v>
      </c>
      <c r="K116" s="158" t="s">
        <v>1027</v>
      </c>
      <c r="L116" s="158" t="s">
        <v>616</v>
      </c>
      <c r="M116" s="158" t="s">
        <v>526</v>
      </c>
      <c r="N116" s="158" t="s">
        <v>1061</v>
      </c>
      <c r="O116" s="158" t="s">
        <v>392</v>
      </c>
      <c r="P116" s="158" t="s">
        <v>1179</v>
      </c>
      <c r="Q116" s="158" t="s">
        <v>1324</v>
      </c>
    </row>
    <row r="117" spans="1:17" x14ac:dyDescent="0.35">
      <c r="A117" s="158" t="s">
        <v>612</v>
      </c>
      <c r="B117" s="159" t="s">
        <v>613</v>
      </c>
      <c r="C117" s="159" t="s">
        <v>614</v>
      </c>
      <c r="D117" s="158" t="s">
        <v>615</v>
      </c>
      <c r="E117" s="158" t="s">
        <v>551</v>
      </c>
      <c r="F117" s="158" t="s">
        <v>526</v>
      </c>
      <c r="G117" s="158" t="s">
        <v>616</v>
      </c>
      <c r="H117" s="158" t="s">
        <v>616</v>
      </c>
      <c r="I117" s="158" t="s">
        <v>732</v>
      </c>
      <c r="J117" s="159" t="s">
        <v>880</v>
      </c>
      <c r="K117" s="158" t="s">
        <v>1028</v>
      </c>
      <c r="L117" s="158" t="s">
        <v>616</v>
      </c>
      <c r="M117" s="158" t="s">
        <v>526</v>
      </c>
      <c r="N117" s="158" t="s">
        <v>1061</v>
      </c>
      <c r="O117" s="158" t="s">
        <v>401</v>
      </c>
      <c r="P117" s="158" t="s">
        <v>1180</v>
      </c>
      <c r="Q117" s="158" t="s">
        <v>1325</v>
      </c>
    </row>
    <row r="118" spans="1:17" x14ac:dyDescent="0.35">
      <c r="A118" s="158" t="s">
        <v>612</v>
      </c>
      <c r="B118" s="159" t="s">
        <v>613</v>
      </c>
      <c r="C118" s="159" t="s">
        <v>614</v>
      </c>
      <c r="D118" s="158" t="s">
        <v>615</v>
      </c>
      <c r="E118" s="158" t="s">
        <v>551</v>
      </c>
      <c r="F118" s="158" t="s">
        <v>526</v>
      </c>
      <c r="G118" s="158" t="s">
        <v>616</v>
      </c>
      <c r="H118" s="158" t="s">
        <v>616</v>
      </c>
      <c r="I118" s="158" t="s">
        <v>733</v>
      </c>
      <c r="J118" s="159" t="s">
        <v>881</v>
      </c>
      <c r="K118" s="158" t="s">
        <v>1029</v>
      </c>
      <c r="L118" s="158" t="s">
        <v>616</v>
      </c>
      <c r="M118" s="158" t="s">
        <v>526</v>
      </c>
      <c r="N118" s="158" t="s">
        <v>1061</v>
      </c>
      <c r="O118" s="158" t="s">
        <v>436</v>
      </c>
      <c r="P118" s="158" t="s">
        <v>1181</v>
      </c>
      <c r="Q118" s="158" t="s">
        <v>1326</v>
      </c>
    </row>
    <row r="119" spans="1:17" x14ac:dyDescent="0.35">
      <c r="A119" s="158" t="s">
        <v>612</v>
      </c>
      <c r="B119" s="159" t="s">
        <v>613</v>
      </c>
      <c r="C119" s="159" t="s">
        <v>614</v>
      </c>
      <c r="D119" s="158" t="s">
        <v>615</v>
      </c>
      <c r="E119" s="158" t="s">
        <v>551</v>
      </c>
      <c r="F119" s="158" t="s">
        <v>526</v>
      </c>
      <c r="G119" s="158" t="s">
        <v>616</v>
      </c>
      <c r="H119" s="158" t="s">
        <v>616</v>
      </c>
      <c r="I119" s="158" t="s">
        <v>734</v>
      </c>
      <c r="J119" s="159" t="s">
        <v>882</v>
      </c>
      <c r="K119" s="158" t="s">
        <v>1030</v>
      </c>
      <c r="L119" s="158" t="s">
        <v>616</v>
      </c>
      <c r="M119" s="158" t="s">
        <v>526</v>
      </c>
      <c r="N119" s="158" t="s">
        <v>1061</v>
      </c>
      <c r="O119" s="158" t="s">
        <v>432</v>
      </c>
      <c r="P119" s="158" t="s">
        <v>1182</v>
      </c>
      <c r="Q119" s="158" t="s">
        <v>1327</v>
      </c>
    </row>
    <row r="120" spans="1:17" x14ac:dyDescent="0.35">
      <c r="A120" s="158" t="s">
        <v>612</v>
      </c>
      <c r="B120" s="159" t="s">
        <v>613</v>
      </c>
      <c r="C120" s="159" t="s">
        <v>614</v>
      </c>
      <c r="D120" s="158" t="s">
        <v>615</v>
      </c>
      <c r="E120" s="158" t="s">
        <v>551</v>
      </c>
      <c r="F120" s="158" t="s">
        <v>526</v>
      </c>
      <c r="G120" s="158" t="s">
        <v>616</v>
      </c>
      <c r="H120" s="158" t="s">
        <v>616</v>
      </c>
      <c r="I120" s="158" t="s">
        <v>735</v>
      </c>
      <c r="J120" s="159" t="s">
        <v>883</v>
      </c>
      <c r="K120" s="158" t="s">
        <v>1031</v>
      </c>
      <c r="L120" s="158" t="s">
        <v>616</v>
      </c>
      <c r="M120" s="158" t="s">
        <v>526</v>
      </c>
      <c r="N120" s="158" t="s">
        <v>1061</v>
      </c>
      <c r="O120" s="158" t="s">
        <v>507</v>
      </c>
      <c r="P120" s="158" t="s">
        <v>1183</v>
      </c>
      <c r="Q120" s="158" t="s">
        <v>1289</v>
      </c>
    </row>
    <row r="121" spans="1:17" x14ac:dyDescent="0.35">
      <c r="A121" s="158" t="s">
        <v>612</v>
      </c>
      <c r="B121" s="159" t="s">
        <v>613</v>
      </c>
      <c r="C121" s="159" t="s">
        <v>614</v>
      </c>
      <c r="D121" s="158" t="s">
        <v>615</v>
      </c>
      <c r="E121" s="158" t="s">
        <v>551</v>
      </c>
      <c r="F121" s="158" t="s">
        <v>526</v>
      </c>
      <c r="G121" s="158" t="s">
        <v>616</v>
      </c>
      <c r="H121" s="158" t="s">
        <v>616</v>
      </c>
      <c r="I121" s="158" t="s">
        <v>736</v>
      </c>
      <c r="J121" s="159" t="s">
        <v>884</v>
      </c>
      <c r="K121" s="158" t="s">
        <v>1032</v>
      </c>
      <c r="L121" s="158" t="s">
        <v>616</v>
      </c>
      <c r="M121" s="158" t="s">
        <v>526</v>
      </c>
      <c r="N121" s="158" t="s">
        <v>1061</v>
      </c>
      <c r="O121" s="158" t="s">
        <v>518</v>
      </c>
      <c r="P121" s="158" t="s">
        <v>1184</v>
      </c>
      <c r="Q121" s="158" t="s">
        <v>1328</v>
      </c>
    </row>
    <row r="122" spans="1:17" x14ac:dyDescent="0.35">
      <c r="A122" s="158" t="s">
        <v>612</v>
      </c>
      <c r="B122" s="159" t="s">
        <v>613</v>
      </c>
      <c r="C122" s="159" t="s">
        <v>614</v>
      </c>
      <c r="D122" s="158" t="s">
        <v>615</v>
      </c>
      <c r="E122" s="158" t="s">
        <v>551</v>
      </c>
      <c r="F122" s="158" t="s">
        <v>526</v>
      </c>
      <c r="G122" s="158" t="s">
        <v>616</v>
      </c>
      <c r="H122" s="158" t="s">
        <v>616</v>
      </c>
      <c r="I122" s="158" t="s">
        <v>737</v>
      </c>
      <c r="J122" s="159" t="s">
        <v>885</v>
      </c>
      <c r="K122" s="158" t="s">
        <v>1033</v>
      </c>
      <c r="L122" s="158" t="s">
        <v>616</v>
      </c>
      <c r="M122" s="158" t="s">
        <v>526</v>
      </c>
      <c r="N122" s="158" t="s">
        <v>1061</v>
      </c>
      <c r="O122" s="158" t="s">
        <v>413</v>
      </c>
      <c r="P122" s="158" t="s">
        <v>1185</v>
      </c>
      <c r="Q122" s="158" t="s">
        <v>1329</v>
      </c>
    </row>
    <row r="123" spans="1:17" x14ac:dyDescent="0.35">
      <c r="A123" s="158" t="s">
        <v>612</v>
      </c>
      <c r="B123" s="159" t="s">
        <v>613</v>
      </c>
      <c r="C123" s="159" t="s">
        <v>614</v>
      </c>
      <c r="D123" s="158" t="s">
        <v>615</v>
      </c>
      <c r="E123" s="158" t="s">
        <v>551</v>
      </c>
      <c r="F123" s="158" t="s">
        <v>526</v>
      </c>
      <c r="G123" s="158" t="s">
        <v>616</v>
      </c>
      <c r="H123" s="158" t="s">
        <v>616</v>
      </c>
      <c r="I123" s="158" t="s">
        <v>738</v>
      </c>
      <c r="J123" s="159" t="s">
        <v>886</v>
      </c>
      <c r="K123" s="158" t="s">
        <v>1034</v>
      </c>
      <c r="L123" s="158" t="s">
        <v>616</v>
      </c>
      <c r="M123" s="158" t="s">
        <v>526</v>
      </c>
      <c r="N123" s="158" t="s">
        <v>1061</v>
      </c>
      <c r="O123" s="158" t="s">
        <v>447</v>
      </c>
      <c r="P123" s="158" t="s">
        <v>1186</v>
      </c>
      <c r="Q123" s="158" t="s">
        <v>1330</v>
      </c>
    </row>
    <row r="124" spans="1:17" x14ac:dyDescent="0.35">
      <c r="A124" s="158" t="s">
        <v>612</v>
      </c>
      <c r="B124" s="159" t="s">
        <v>613</v>
      </c>
      <c r="C124" s="159" t="s">
        <v>614</v>
      </c>
      <c r="D124" s="158" t="s">
        <v>615</v>
      </c>
      <c r="E124" s="158" t="s">
        <v>551</v>
      </c>
      <c r="F124" s="158" t="s">
        <v>526</v>
      </c>
      <c r="G124" s="158" t="s">
        <v>616</v>
      </c>
      <c r="H124" s="158" t="s">
        <v>616</v>
      </c>
      <c r="I124" s="158" t="s">
        <v>739</v>
      </c>
      <c r="J124" s="159" t="s">
        <v>887</v>
      </c>
      <c r="K124" s="158" t="s">
        <v>1035</v>
      </c>
      <c r="L124" s="158" t="s">
        <v>616</v>
      </c>
      <c r="M124" s="158" t="s">
        <v>526</v>
      </c>
      <c r="N124" s="158" t="s">
        <v>1061</v>
      </c>
      <c r="O124" s="158" t="s">
        <v>499</v>
      </c>
      <c r="P124" s="158" t="s">
        <v>1187</v>
      </c>
      <c r="Q124" s="158" t="s">
        <v>1331</v>
      </c>
    </row>
    <row r="125" spans="1:17" x14ac:dyDescent="0.35">
      <c r="A125" s="158" t="s">
        <v>612</v>
      </c>
      <c r="B125" s="159" t="s">
        <v>613</v>
      </c>
      <c r="C125" s="159" t="s">
        <v>614</v>
      </c>
      <c r="D125" s="158" t="s">
        <v>615</v>
      </c>
      <c r="E125" s="158" t="s">
        <v>551</v>
      </c>
      <c r="F125" s="158" t="s">
        <v>526</v>
      </c>
      <c r="G125" s="158" t="s">
        <v>616</v>
      </c>
      <c r="H125" s="158" t="s">
        <v>616</v>
      </c>
      <c r="I125" s="158" t="s">
        <v>740</v>
      </c>
      <c r="J125" s="159" t="s">
        <v>888</v>
      </c>
      <c r="K125" s="158" t="s">
        <v>1036</v>
      </c>
      <c r="L125" s="158" t="s">
        <v>616</v>
      </c>
      <c r="M125" s="158" t="s">
        <v>526</v>
      </c>
      <c r="N125" s="158" t="s">
        <v>1061</v>
      </c>
      <c r="O125" s="158" t="s">
        <v>513</v>
      </c>
      <c r="P125" s="158" t="s">
        <v>1188</v>
      </c>
      <c r="Q125" s="158" t="s">
        <v>1332</v>
      </c>
    </row>
    <row r="126" spans="1:17" x14ac:dyDescent="0.35">
      <c r="A126" s="158" t="s">
        <v>612</v>
      </c>
      <c r="B126" s="159" t="s">
        <v>613</v>
      </c>
      <c r="C126" s="159" t="s">
        <v>614</v>
      </c>
      <c r="D126" s="158" t="s">
        <v>615</v>
      </c>
      <c r="E126" s="158" t="s">
        <v>551</v>
      </c>
      <c r="F126" s="158" t="s">
        <v>526</v>
      </c>
      <c r="G126" s="158" t="s">
        <v>616</v>
      </c>
      <c r="H126" s="158" t="s">
        <v>616</v>
      </c>
      <c r="I126" s="158" t="s">
        <v>741</v>
      </c>
      <c r="J126" s="159" t="s">
        <v>889</v>
      </c>
      <c r="K126" s="158" t="s">
        <v>1037</v>
      </c>
      <c r="L126" s="158" t="s">
        <v>616</v>
      </c>
      <c r="M126" s="158" t="s">
        <v>526</v>
      </c>
      <c r="N126" s="158" t="s">
        <v>1061</v>
      </c>
      <c r="O126" s="158" t="s">
        <v>464</v>
      </c>
      <c r="P126" s="158" t="s">
        <v>1189</v>
      </c>
      <c r="Q126" s="158" t="s">
        <v>1333</v>
      </c>
    </row>
    <row r="127" spans="1:17" x14ac:dyDescent="0.35">
      <c r="A127" s="158" t="s">
        <v>612</v>
      </c>
      <c r="B127" s="159" t="s">
        <v>613</v>
      </c>
      <c r="C127" s="159" t="s">
        <v>614</v>
      </c>
      <c r="D127" s="158" t="s">
        <v>615</v>
      </c>
      <c r="E127" s="158" t="s">
        <v>551</v>
      </c>
      <c r="F127" s="158" t="s">
        <v>526</v>
      </c>
      <c r="G127" s="158" t="s">
        <v>616</v>
      </c>
      <c r="H127" s="158" t="s">
        <v>616</v>
      </c>
      <c r="I127" s="158" t="s">
        <v>742</v>
      </c>
      <c r="J127" s="159" t="s">
        <v>890</v>
      </c>
      <c r="K127" s="158" t="s">
        <v>1038</v>
      </c>
      <c r="L127" s="158" t="s">
        <v>616</v>
      </c>
      <c r="M127" s="158" t="s">
        <v>526</v>
      </c>
      <c r="N127" s="158" t="s">
        <v>1061</v>
      </c>
      <c r="O127" s="158" t="s">
        <v>384</v>
      </c>
      <c r="P127" s="158" t="s">
        <v>1190</v>
      </c>
      <c r="Q127" s="158" t="s">
        <v>1334</v>
      </c>
    </row>
    <row r="128" spans="1:17" x14ac:dyDescent="0.35">
      <c r="A128" s="158" t="s">
        <v>612</v>
      </c>
      <c r="B128" s="159" t="s">
        <v>613</v>
      </c>
      <c r="C128" s="159" t="s">
        <v>614</v>
      </c>
      <c r="D128" s="158" t="s">
        <v>615</v>
      </c>
      <c r="E128" s="158" t="s">
        <v>551</v>
      </c>
      <c r="F128" s="158" t="s">
        <v>526</v>
      </c>
      <c r="G128" s="158" t="s">
        <v>616</v>
      </c>
      <c r="H128" s="158" t="s">
        <v>616</v>
      </c>
      <c r="I128" s="158" t="s">
        <v>743</v>
      </c>
      <c r="J128" s="159" t="s">
        <v>891</v>
      </c>
      <c r="K128" s="158" t="s">
        <v>1039</v>
      </c>
      <c r="L128" s="158" t="s">
        <v>616</v>
      </c>
      <c r="M128" s="158" t="s">
        <v>526</v>
      </c>
      <c r="N128" s="158" t="s">
        <v>1061</v>
      </c>
      <c r="O128" s="158" t="s">
        <v>476</v>
      </c>
      <c r="P128" s="158" t="s">
        <v>1191</v>
      </c>
      <c r="Q128" s="158" t="s">
        <v>1289</v>
      </c>
    </row>
    <row r="129" spans="1:17" x14ac:dyDescent="0.35">
      <c r="A129" s="158" t="s">
        <v>612</v>
      </c>
      <c r="B129" s="159" t="s">
        <v>613</v>
      </c>
      <c r="C129" s="159" t="s">
        <v>614</v>
      </c>
      <c r="D129" s="158" t="s">
        <v>615</v>
      </c>
      <c r="E129" s="158" t="s">
        <v>551</v>
      </c>
      <c r="F129" s="158" t="s">
        <v>526</v>
      </c>
      <c r="G129" s="158" t="s">
        <v>616</v>
      </c>
      <c r="H129" s="158" t="s">
        <v>616</v>
      </c>
      <c r="I129" s="158" t="s">
        <v>744</v>
      </c>
      <c r="J129" s="159" t="s">
        <v>892</v>
      </c>
      <c r="K129" s="158" t="s">
        <v>1040</v>
      </c>
      <c r="L129" s="158" t="s">
        <v>616</v>
      </c>
      <c r="M129" s="158" t="s">
        <v>526</v>
      </c>
      <c r="N129" s="158" t="s">
        <v>1061</v>
      </c>
      <c r="O129" s="158" t="s">
        <v>506</v>
      </c>
      <c r="P129" s="158" t="s">
        <v>1192</v>
      </c>
      <c r="Q129" s="158" t="s">
        <v>1335</v>
      </c>
    </row>
    <row r="130" spans="1:17" x14ac:dyDescent="0.35">
      <c r="A130" s="158" t="s">
        <v>612</v>
      </c>
      <c r="B130" s="159" t="s">
        <v>613</v>
      </c>
      <c r="C130" s="159" t="s">
        <v>614</v>
      </c>
      <c r="D130" s="158" t="s">
        <v>615</v>
      </c>
      <c r="E130" s="158" t="s">
        <v>551</v>
      </c>
      <c r="F130" s="158" t="s">
        <v>526</v>
      </c>
      <c r="G130" s="158" t="s">
        <v>616</v>
      </c>
      <c r="H130" s="158" t="s">
        <v>616</v>
      </c>
      <c r="I130" s="158" t="s">
        <v>745</v>
      </c>
      <c r="J130" s="159" t="s">
        <v>893</v>
      </c>
      <c r="K130" s="158" t="s">
        <v>1041</v>
      </c>
      <c r="L130" s="158" t="s">
        <v>616</v>
      </c>
      <c r="M130" s="158" t="s">
        <v>526</v>
      </c>
      <c r="N130" s="158" t="s">
        <v>1061</v>
      </c>
      <c r="O130" s="158" t="s">
        <v>426</v>
      </c>
      <c r="P130" s="158" t="s">
        <v>1193</v>
      </c>
      <c r="Q130" s="158" t="s">
        <v>1336</v>
      </c>
    </row>
    <row r="131" spans="1:17" x14ac:dyDescent="0.35">
      <c r="A131" s="158" t="s">
        <v>612</v>
      </c>
      <c r="B131" s="159" t="s">
        <v>613</v>
      </c>
      <c r="C131" s="159" t="s">
        <v>614</v>
      </c>
      <c r="D131" s="158" t="s">
        <v>615</v>
      </c>
      <c r="E131" s="158" t="s">
        <v>551</v>
      </c>
      <c r="F131" s="158" t="s">
        <v>526</v>
      </c>
      <c r="G131" s="158" t="s">
        <v>616</v>
      </c>
      <c r="H131" s="158" t="s">
        <v>616</v>
      </c>
      <c r="I131" s="158" t="s">
        <v>746</v>
      </c>
      <c r="J131" s="159" t="s">
        <v>894</v>
      </c>
      <c r="K131" s="158" t="s">
        <v>1042</v>
      </c>
      <c r="L131" s="158" t="s">
        <v>616</v>
      </c>
      <c r="M131" s="158" t="s">
        <v>526</v>
      </c>
      <c r="N131" s="158" t="s">
        <v>1061</v>
      </c>
      <c r="O131" s="158" t="s">
        <v>523</v>
      </c>
      <c r="P131" s="158" t="s">
        <v>1194</v>
      </c>
      <c r="Q131" s="158" t="s">
        <v>1337</v>
      </c>
    </row>
    <row r="132" spans="1:17" x14ac:dyDescent="0.35">
      <c r="A132" s="158" t="s">
        <v>612</v>
      </c>
      <c r="B132" s="159" t="s">
        <v>613</v>
      </c>
      <c r="C132" s="159" t="s">
        <v>614</v>
      </c>
      <c r="D132" s="158" t="s">
        <v>615</v>
      </c>
      <c r="E132" s="158" t="s">
        <v>551</v>
      </c>
      <c r="F132" s="158" t="s">
        <v>526</v>
      </c>
      <c r="G132" s="158" t="s">
        <v>616</v>
      </c>
      <c r="H132" s="158" t="s">
        <v>616</v>
      </c>
      <c r="I132" s="158" t="s">
        <v>747</v>
      </c>
      <c r="J132" s="159" t="s">
        <v>895</v>
      </c>
      <c r="K132" s="158" t="s">
        <v>1043</v>
      </c>
      <c r="L132" s="158" t="s">
        <v>616</v>
      </c>
      <c r="M132" s="158" t="s">
        <v>526</v>
      </c>
      <c r="N132" s="158" t="s">
        <v>1061</v>
      </c>
      <c r="O132" s="158" t="s">
        <v>443</v>
      </c>
      <c r="P132" s="158" t="s">
        <v>1195</v>
      </c>
      <c r="Q132" s="158" t="s">
        <v>1338</v>
      </c>
    </row>
    <row r="133" spans="1:17" x14ac:dyDescent="0.35">
      <c r="A133" s="158" t="s">
        <v>612</v>
      </c>
      <c r="B133" s="159" t="s">
        <v>613</v>
      </c>
      <c r="C133" s="159" t="s">
        <v>614</v>
      </c>
      <c r="D133" s="158" t="s">
        <v>615</v>
      </c>
      <c r="E133" s="158" t="s">
        <v>551</v>
      </c>
      <c r="F133" s="158" t="s">
        <v>526</v>
      </c>
      <c r="G133" s="158" t="s">
        <v>616</v>
      </c>
      <c r="H133" s="158" t="s">
        <v>616</v>
      </c>
      <c r="I133" s="158" t="s">
        <v>748</v>
      </c>
      <c r="J133" s="159" t="s">
        <v>896</v>
      </c>
      <c r="K133" s="158" t="s">
        <v>1044</v>
      </c>
      <c r="L133" s="158" t="s">
        <v>616</v>
      </c>
      <c r="M133" s="158" t="s">
        <v>526</v>
      </c>
      <c r="N133" s="158" t="s">
        <v>1061</v>
      </c>
      <c r="O133" s="158" t="s">
        <v>498</v>
      </c>
      <c r="P133" s="158" t="s">
        <v>1196</v>
      </c>
      <c r="Q133" s="158" t="s">
        <v>1339</v>
      </c>
    </row>
    <row r="134" spans="1:17" x14ac:dyDescent="0.35">
      <c r="A134" s="158" t="s">
        <v>612</v>
      </c>
      <c r="B134" s="159" t="s">
        <v>613</v>
      </c>
      <c r="C134" s="159" t="s">
        <v>614</v>
      </c>
      <c r="D134" s="158" t="s">
        <v>615</v>
      </c>
      <c r="E134" s="158" t="s">
        <v>551</v>
      </c>
      <c r="F134" s="158" t="s">
        <v>526</v>
      </c>
      <c r="G134" s="158" t="s">
        <v>616</v>
      </c>
      <c r="H134" s="158" t="s">
        <v>616</v>
      </c>
      <c r="I134" s="158" t="s">
        <v>749</v>
      </c>
      <c r="J134" s="159" t="s">
        <v>897</v>
      </c>
      <c r="K134" s="158" t="s">
        <v>1045</v>
      </c>
      <c r="L134" s="158" t="s">
        <v>616</v>
      </c>
      <c r="M134" s="158" t="s">
        <v>526</v>
      </c>
      <c r="N134" s="158" t="s">
        <v>1061</v>
      </c>
      <c r="O134" s="158" t="s">
        <v>485</v>
      </c>
      <c r="P134" s="158" t="s">
        <v>1197</v>
      </c>
      <c r="Q134" s="158" t="s">
        <v>1340</v>
      </c>
    </row>
    <row r="135" spans="1:17" x14ac:dyDescent="0.35">
      <c r="A135" s="158" t="s">
        <v>612</v>
      </c>
      <c r="B135" s="159" t="s">
        <v>613</v>
      </c>
      <c r="C135" s="159" t="s">
        <v>614</v>
      </c>
      <c r="D135" s="158" t="s">
        <v>615</v>
      </c>
      <c r="E135" s="158" t="s">
        <v>551</v>
      </c>
      <c r="F135" s="158" t="s">
        <v>526</v>
      </c>
      <c r="G135" s="158" t="s">
        <v>616</v>
      </c>
      <c r="H135" s="158" t="s">
        <v>616</v>
      </c>
      <c r="I135" s="158" t="s">
        <v>750</v>
      </c>
      <c r="J135" s="159" t="s">
        <v>898</v>
      </c>
      <c r="K135" s="158" t="s">
        <v>1046</v>
      </c>
      <c r="L135" s="158" t="s">
        <v>616</v>
      </c>
      <c r="M135" s="158" t="s">
        <v>526</v>
      </c>
      <c r="N135" s="158" t="s">
        <v>1061</v>
      </c>
      <c r="O135" s="158" t="s">
        <v>520</v>
      </c>
      <c r="P135" s="158" t="s">
        <v>1198</v>
      </c>
      <c r="Q135" s="158" t="s">
        <v>1341</v>
      </c>
    </row>
    <row r="136" spans="1:17" x14ac:dyDescent="0.35">
      <c r="A136" s="158" t="s">
        <v>612</v>
      </c>
      <c r="B136" s="159" t="s">
        <v>613</v>
      </c>
      <c r="C136" s="159" t="s">
        <v>614</v>
      </c>
      <c r="D136" s="158" t="s">
        <v>615</v>
      </c>
      <c r="E136" s="158" t="s">
        <v>551</v>
      </c>
      <c r="F136" s="158" t="s">
        <v>526</v>
      </c>
      <c r="G136" s="158" t="s">
        <v>616</v>
      </c>
      <c r="H136" s="158" t="s">
        <v>616</v>
      </c>
      <c r="I136" s="158" t="s">
        <v>751</v>
      </c>
      <c r="J136" s="159" t="s">
        <v>899</v>
      </c>
      <c r="K136" s="158" t="s">
        <v>1047</v>
      </c>
      <c r="L136" s="158" t="s">
        <v>616</v>
      </c>
      <c r="M136" s="158" t="s">
        <v>526</v>
      </c>
      <c r="N136" s="158" t="s">
        <v>1061</v>
      </c>
      <c r="O136" s="158" t="s">
        <v>427</v>
      </c>
      <c r="P136" s="158" t="s">
        <v>1199</v>
      </c>
      <c r="Q136" s="158" t="s">
        <v>1342</v>
      </c>
    </row>
    <row r="137" spans="1:17" x14ac:dyDescent="0.35">
      <c r="A137" s="158" t="s">
        <v>612</v>
      </c>
      <c r="B137" s="159" t="s">
        <v>613</v>
      </c>
      <c r="C137" s="159" t="s">
        <v>614</v>
      </c>
      <c r="D137" s="158" t="s">
        <v>615</v>
      </c>
      <c r="E137" s="158" t="s">
        <v>551</v>
      </c>
      <c r="F137" s="158" t="s">
        <v>526</v>
      </c>
      <c r="G137" s="158" t="s">
        <v>616</v>
      </c>
      <c r="H137" s="158" t="s">
        <v>616</v>
      </c>
      <c r="I137" s="158" t="s">
        <v>752</v>
      </c>
      <c r="J137" s="159" t="s">
        <v>900</v>
      </c>
      <c r="K137" s="158" t="s">
        <v>1048</v>
      </c>
      <c r="L137" s="158" t="s">
        <v>616</v>
      </c>
      <c r="M137" s="158" t="s">
        <v>526</v>
      </c>
      <c r="N137" s="158" t="s">
        <v>1061</v>
      </c>
      <c r="O137" s="158" t="s">
        <v>495</v>
      </c>
      <c r="P137" s="158" t="s">
        <v>1200</v>
      </c>
      <c r="Q137" s="158" t="s">
        <v>1343</v>
      </c>
    </row>
    <row r="138" spans="1:17" x14ac:dyDescent="0.35">
      <c r="A138" s="158" t="s">
        <v>612</v>
      </c>
      <c r="B138" s="159" t="s">
        <v>613</v>
      </c>
      <c r="C138" s="159" t="s">
        <v>614</v>
      </c>
      <c r="D138" s="158" t="s">
        <v>615</v>
      </c>
      <c r="E138" s="158" t="s">
        <v>551</v>
      </c>
      <c r="F138" s="158" t="s">
        <v>526</v>
      </c>
      <c r="G138" s="158" t="s">
        <v>616</v>
      </c>
      <c r="H138" s="158" t="s">
        <v>616</v>
      </c>
      <c r="I138" s="158" t="s">
        <v>753</v>
      </c>
      <c r="J138" s="159" t="s">
        <v>901</v>
      </c>
      <c r="K138" s="158" t="s">
        <v>1049</v>
      </c>
      <c r="L138" s="158" t="s">
        <v>616</v>
      </c>
      <c r="M138" s="158" t="s">
        <v>526</v>
      </c>
      <c r="N138" s="158" t="s">
        <v>1061</v>
      </c>
      <c r="O138" s="158" t="s">
        <v>418</v>
      </c>
      <c r="P138" s="158" t="s">
        <v>1201</v>
      </c>
      <c r="Q138" s="158" t="s">
        <v>1344</v>
      </c>
    </row>
    <row r="139" spans="1:17" x14ac:dyDescent="0.35">
      <c r="A139" s="158" t="s">
        <v>612</v>
      </c>
      <c r="B139" s="159" t="s">
        <v>613</v>
      </c>
      <c r="C139" s="159" t="s">
        <v>614</v>
      </c>
      <c r="D139" s="158" t="s">
        <v>615</v>
      </c>
      <c r="E139" s="158" t="s">
        <v>551</v>
      </c>
      <c r="F139" s="158" t="s">
        <v>526</v>
      </c>
      <c r="G139" s="158" t="s">
        <v>616</v>
      </c>
      <c r="H139" s="158" t="s">
        <v>616</v>
      </c>
      <c r="I139" s="158" t="s">
        <v>754</v>
      </c>
      <c r="J139" s="159" t="s">
        <v>902</v>
      </c>
      <c r="K139" s="158" t="s">
        <v>1050</v>
      </c>
      <c r="L139" s="158" t="s">
        <v>616</v>
      </c>
      <c r="M139" s="158" t="s">
        <v>526</v>
      </c>
      <c r="N139" s="158" t="s">
        <v>1061</v>
      </c>
      <c r="O139" s="158" t="s">
        <v>468</v>
      </c>
      <c r="P139" s="158" t="s">
        <v>1202</v>
      </c>
      <c r="Q139" s="158" t="s">
        <v>1345</v>
      </c>
    </row>
    <row r="140" spans="1:17" x14ac:dyDescent="0.35">
      <c r="A140" s="158" t="s">
        <v>612</v>
      </c>
      <c r="B140" s="159" t="s">
        <v>613</v>
      </c>
      <c r="C140" s="159" t="s">
        <v>614</v>
      </c>
      <c r="D140" s="158" t="s">
        <v>615</v>
      </c>
      <c r="E140" s="158" t="s">
        <v>551</v>
      </c>
      <c r="F140" s="158" t="s">
        <v>526</v>
      </c>
      <c r="G140" s="158" t="s">
        <v>616</v>
      </c>
      <c r="H140" s="158" t="s">
        <v>616</v>
      </c>
      <c r="I140" s="158" t="s">
        <v>755</v>
      </c>
      <c r="J140" s="159" t="s">
        <v>903</v>
      </c>
      <c r="K140" s="158" t="s">
        <v>1051</v>
      </c>
      <c r="L140" s="158" t="s">
        <v>616</v>
      </c>
      <c r="M140" s="158" t="s">
        <v>526</v>
      </c>
      <c r="N140" s="158" t="s">
        <v>1061</v>
      </c>
      <c r="O140" s="158" t="s">
        <v>456</v>
      </c>
      <c r="P140" s="158" t="s">
        <v>1203</v>
      </c>
      <c r="Q140" s="158" t="s">
        <v>1346</v>
      </c>
    </row>
    <row r="141" spans="1:17" x14ac:dyDescent="0.35">
      <c r="A141" s="158" t="s">
        <v>612</v>
      </c>
      <c r="B141" s="159" t="s">
        <v>613</v>
      </c>
      <c r="C141" s="159" t="s">
        <v>614</v>
      </c>
      <c r="D141" s="158" t="s">
        <v>615</v>
      </c>
      <c r="E141" s="158" t="s">
        <v>551</v>
      </c>
      <c r="F141" s="158" t="s">
        <v>526</v>
      </c>
      <c r="G141" s="158" t="s">
        <v>616</v>
      </c>
      <c r="H141" s="158" t="s">
        <v>616</v>
      </c>
      <c r="I141" s="158" t="s">
        <v>756</v>
      </c>
      <c r="J141" s="159" t="s">
        <v>904</v>
      </c>
      <c r="K141" s="158" t="s">
        <v>1052</v>
      </c>
      <c r="L141" s="158" t="s">
        <v>616</v>
      </c>
      <c r="M141" s="158" t="s">
        <v>526</v>
      </c>
      <c r="N141" s="158" t="s">
        <v>1061</v>
      </c>
      <c r="O141" s="158" t="s">
        <v>470</v>
      </c>
      <c r="P141" s="158" t="s">
        <v>1204</v>
      </c>
      <c r="Q141" s="158" t="s">
        <v>1347</v>
      </c>
    </row>
    <row r="142" spans="1:17" x14ac:dyDescent="0.35">
      <c r="A142" s="158" t="s">
        <v>612</v>
      </c>
      <c r="B142" s="159" t="s">
        <v>613</v>
      </c>
      <c r="C142" s="159" t="s">
        <v>614</v>
      </c>
      <c r="D142" s="158" t="s">
        <v>615</v>
      </c>
      <c r="E142" s="158" t="s">
        <v>551</v>
      </c>
      <c r="F142" s="158" t="s">
        <v>526</v>
      </c>
      <c r="G142" s="158" t="s">
        <v>616</v>
      </c>
      <c r="H142" s="158" t="s">
        <v>616</v>
      </c>
      <c r="I142" s="158" t="s">
        <v>757</v>
      </c>
      <c r="J142" s="159" t="s">
        <v>905</v>
      </c>
      <c r="K142" s="158" t="s">
        <v>1053</v>
      </c>
      <c r="L142" s="158" t="s">
        <v>616</v>
      </c>
      <c r="M142" s="158" t="s">
        <v>526</v>
      </c>
      <c r="N142" s="158" t="s">
        <v>1061</v>
      </c>
      <c r="O142" s="158" t="s">
        <v>514</v>
      </c>
      <c r="P142" s="158" t="s">
        <v>1205</v>
      </c>
      <c r="Q142" s="158" t="s">
        <v>1348</v>
      </c>
    </row>
    <row r="143" spans="1:17" x14ac:dyDescent="0.35">
      <c r="A143" s="158" t="s">
        <v>612</v>
      </c>
      <c r="B143" s="159" t="s">
        <v>613</v>
      </c>
      <c r="C143" s="159" t="s">
        <v>614</v>
      </c>
      <c r="D143" s="158" t="s">
        <v>615</v>
      </c>
      <c r="E143" s="158" t="s">
        <v>551</v>
      </c>
      <c r="F143" s="158" t="s">
        <v>526</v>
      </c>
      <c r="G143" s="158" t="s">
        <v>616</v>
      </c>
      <c r="H143" s="158" t="s">
        <v>616</v>
      </c>
      <c r="I143" s="158" t="s">
        <v>758</v>
      </c>
      <c r="J143" s="159" t="s">
        <v>906</v>
      </c>
      <c r="K143" s="158" t="s">
        <v>1054</v>
      </c>
      <c r="L143" s="158" t="s">
        <v>616</v>
      </c>
      <c r="M143" s="158" t="s">
        <v>526</v>
      </c>
      <c r="N143" s="158" t="s">
        <v>1061</v>
      </c>
      <c r="O143" s="158" t="s">
        <v>515</v>
      </c>
      <c r="P143" s="158" t="s">
        <v>1206</v>
      </c>
      <c r="Q143" s="158" t="s">
        <v>1349</v>
      </c>
    </row>
    <row r="144" spans="1:17" x14ac:dyDescent="0.35">
      <c r="A144" s="158" t="s">
        <v>612</v>
      </c>
      <c r="B144" s="159" t="s">
        <v>613</v>
      </c>
      <c r="C144" s="159" t="s">
        <v>614</v>
      </c>
      <c r="D144" s="158" t="s">
        <v>615</v>
      </c>
      <c r="E144" s="158" t="s">
        <v>551</v>
      </c>
      <c r="F144" s="158" t="s">
        <v>526</v>
      </c>
      <c r="G144" s="158" t="s">
        <v>616</v>
      </c>
      <c r="H144" s="158" t="s">
        <v>616</v>
      </c>
      <c r="I144" s="158" t="s">
        <v>759</v>
      </c>
      <c r="J144" s="159" t="s">
        <v>907</v>
      </c>
      <c r="K144" s="158" t="s">
        <v>1055</v>
      </c>
      <c r="L144" s="158" t="s">
        <v>616</v>
      </c>
      <c r="M144" s="158" t="s">
        <v>526</v>
      </c>
      <c r="N144" s="158" t="s">
        <v>1061</v>
      </c>
      <c r="O144" s="158" t="s">
        <v>446</v>
      </c>
      <c r="P144" s="158" t="s">
        <v>1207</v>
      </c>
      <c r="Q144" s="158" t="s">
        <v>1350</v>
      </c>
    </row>
    <row r="145" spans="1:17" x14ac:dyDescent="0.35">
      <c r="A145" s="158" t="s">
        <v>612</v>
      </c>
      <c r="B145" s="159" t="s">
        <v>613</v>
      </c>
      <c r="C145" s="159" t="s">
        <v>614</v>
      </c>
      <c r="D145" s="158" t="s">
        <v>615</v>
      </c>
      <c r="E145" s="158" t="s">
        <v>551</v>
      </c>
      <c r="F145" s="158" t="s">
        <v>526</v>
      </c>
      <c r="G145" s="158" t="s">
        <v>616</v>
      </c>
      <c r="H145" s="158" t="s">
        <v>616</v>
      </c>
      <c r="I145" s="158" t="s">
        <v>760</v>
      </c>
      <c r="J145" s="159" t="s">
        <v>908</v>
      </c>
      <c r="K145" s="158" t="s">
        <v>1056</v>
      </c>
      <c r="L145" s="158" t="s">
        <v>616</v>
      </c>
      <c r="M145" s="158" t="s">
        <v>526</v>
      </c>
      <c r="N145" s="158" t="s">
        <v>1061</v>
      </c>
      <c r="O145" s="158" t="s">
        <v>278</v>
      </c>
      <c r="P145" s="158" t="s">
        <v>1208</v>
      </c>
      <c r="Q145" s="158" t="s">
        <v>1351</v>
      </c>
    </row>
    <row r="146" spans="1:17" x14ac:dyDescent="0.35">
      <c r="A146" s="158" t="s">
        <v>612</v>
      </c>
      <c r="B146" s="159" t="s">
        <v>613</v>
      </c>
      <c r="C146" s="159" t="s">
        <v>614</v>
      </c>
      <c r="D146" s="158" t="s">
        <v>615</v>
      </c>
      <c r="E146" s="158" t="s">
        <v>551</v>
      </c>
      <c r="F146" s="158" t="s">
        <v>526</v>
      </c>
      <c r="G146" s="158" t="s">
        <v>616</v>
      </c>
      <c r="H146" s="158" t="s">
        <v>616</v>
      </c>
      <c r="I146" s="158" t="s">
        <v>761</v>
      </c>
      <c r="J146" s="159" t="s">
        <v>909</v>
      </c>
      <c r="K146" s="158" t="s">
        <v>1057</v>
      </c>
      <c r="L146" s="158" t="s">
        <v>616</v>
      </c>
      <c r="M146" s="158" t="s">
        <v>526</v>
      </c>
      <c r="N146" s="158" t="s">
        <v>1061</v>
      </c>
      <c r="O146" s="158" t="s">
        <v>399</v>
      </c>
      <c r="P146" s="158" t="s">
        <v>1209</v>
      </c>
      <c r="Q146" s="158" t="s">
        <v>1352</v>
      </c>
    </row>
    <row r="147" spans="1:17" x14ac:dyDescent="0.35">
      <c r="A147" s="158" t="s">
        <v>612</v>
      </c>
      <c r="B147" s="159" t="s">
        <v>613</v>
      </c>
      <c r="C147" s="159" t="s">
        <v>614</v>
      </c>
      <c r="D147" s="158" t="s">
        <v>615</v>
      </c>
      <c r="E147" s="158" t="s">
        <v>551</v>
      </c>
      <c r="F147" s="158" t="s">
        <v>526</v>
      </c>
      <c r="G147" s="158" t="s">
        <v>616</v>
      </c>
      <c r="H147" s="158" t="s">
        <v>616</v>
      </c>
      <c r="I147" s="158" t="s">
        <v>762</v>
      </c>
      <c r="J147" s="159" t="s">
        <v>910</v>
      </c>
      <c r="K147" s="158" t="s">
        <v>1058</v>
      </c>
      <c r="L147" s="158" t="s">
        <v>616</v>
      </c>
      <c r="M147" s="158" t="s">
        <v>526</v>
      </c>
      <c r="N147" s="158" t="s">
        <v>1061</v>
      </c>
      <c r="O147" s="158" t="s">
        <v>527</v>
      </c>
      <c r="P147" s="158" t="s">
        <v>1210</v>
      </c>
      <c r="Q147" s="158" t="s">
        <v>1353</v>
      </c>
    </row>
    <row r="148" spans="1:17" x14ac:dyDescent="0.35">
      <c r="A148" s="158" t="s">
        <v>612</v>
      </c>
      <c r="B148" s="159" t="s">
        <v>613</v>
      </c>
      <c r="C148" s="159" t="s">
        <v>614</v>
      </c>
      <c r="D148" s="158" t="s">
        <v>615</v>
      </c>
      <c r="E148" s="158" t="s">
        <v>551</v>
      </c>
      <c r="F148" s="158" t="s">
        <v>526</v>
      </c>
      <c r="G148" s="158" t="s">
        <v>616</v>
      </c>
      <c r="H148" s="158" t="s">
        <v>616</v>
      </c>
      <c r="I148" s="158" t="s">
        <v>763</v>
      </c>
      <c r="J148" s="159" t="s">
        <v>911</v>
      </c>
      <c r="K148" s="158" t="s">
        <v>1059</v>
      </c>
      <c r="L148" s="158" t="s">
        <v>616</v>
      </c>
      <c r="M148" s="158" t="s">
        <v>526</v>
      </c>
      <c r="N148" s="158" t="s">
        <v>1061</v>
      </c>
      <c r="O148" s="158" t="s">
        <v>525</v>
      </c>
      <c r="P148" s="158" t="s">
        <v>1211</v>
      </c>
      <c r="Q148" s="158" t="s">
        <v>1354</v>
      </c>
    </row>
    <row r="149" spans="1:17" x14ac:dyDescent="0.35">
      <c r="A149" s="158" t="s">
        <v>612</v>
      </c>
      <c r="B149" s="159" t="s">
        <v>613</v>
      </c>
      <c r="C149" s="159" t="s">
        <v>614</v>
      </c>
      <c r="D149" s="158" t="s">
        <v>615</v>
      </c>
      <c r="E149" s="158" t="s">
        <v>551</v>
      </c>
      <c r="F149" s="158" t="s">
        <v>526</v>
      </c>
      <c r="G149" s="158" t="s">
        <v>616</v>
      </c>
      <c r="H149" s="158" t="s">
        <v>616</v>
      </c>
      <c r="I149" s="158" t="s">
        <v>764</v>
      </c>
      <c r="J149" s="159" t="s">
        <v>912</v>
      </c>
      <c r="K149" s="158" t="s">
        <v>1060</v>
      </c>
      <c r="L149" s="158" t="s">
        <v>616</v>
      </c>
      <c r="M149" s="158" t="s">
        <v>526</v>
      </c>
      <c r="N149" s="158" t="s">
        <v>1061</v>
      </c>
      <c r="O149" s="158" t="s">
        <v>400</v>
      </c>
      <c r="P149" s="158" t="s">
        <v>1212</v>
      </c>
      <c r="Q149" s="158" t="s">
        <v>1355</v>
      </c>
    </row>
  </sheetData>
  <hyperlinks>
    <hyperlink ref="B2" r:id="rId1"/>
    <hyperlink ref="B3" r:id="rId2"/>
    <hyperlink ref="B4" r:id="rId3"/>
    <hyperlink ref="B5" r:id="rId4"/>
    <hyperlink ref="B6" r:id="rId5"/>
    <hyperlink ref="B7" r:id="rId6"/>
    <hyperlink ref="B8" r:id="rId7"/>
    <hyperlink ref="B9" r:id="rId8"/>
    <hyperlink ref="B10" r:id="rId9"/>
    <hyperlink ref="B11" r:id="rId10"/>
    <hyperlink ref="B12" r:id="rId11"/>
    <hyperlink ref="B13" r:id="rId12"/>
    <hyperlink ref="B14" r:id="rId13"/>
    <hyperlink ref="B15" r:id="rId14"/>
    <hyperlink ref="B16" r:id="rId15"/>
    <hyperlink ref="B17" r:id="rId16"/>
    <hyperlink ref="B18" r:id="rId17"/>
    <hyperlink ref="B19" r:id="rId18"/>
    <hyperlink ref="B20" r:id="rId19"/>
    <hyperlink ref="B21" r:id="rId20"/>
    <hyperlink ref="B22" r:id="rId21"/>
    <hyperlink ref="B23" r:id="rId22"/>
    <hyperlink ref="B24" r:id="rId23"/>
    <hyperlink ref="B25" r:id="rId24"/>
    <hyperlink ref="B26" r:id="rId25"/>
    <hyperlink ref="B27" r:id="rId26"/>
    <hyperlink ref="B28" r:id="rId27"/>
    <hyperlink ref="B29" r:id="rId28"/>
    <hyperlink ref="B30" r:id="rId29"/>
    <hyperlink ref="B31" r:id="rId30"/>
    <hyperlink ref="B32" r:id="rId31"/>
    <hyperlink ref="B33" r:id="rId32"/>
    <hyperlink ref="B34" r:id="rId33"/>
    <hyperlink ref="B35" r:id="rId34"/>
    <hyperlink ref="B36" r:id="rId35"/>
    <hyperlink ref="B37" r:id="rId36"/>
    <hyperlink ref="B38" r:id="rId37"/>
    <hyperlink ref="B39" r:id="rId38"/>
    <hyperlink ref="B40" r:id="rId39"/>
    <hyperlink ref="B41" r:id="rId40"/>
    <hyperlink ref="B42" r:id="rId41"/>
    <hyperlink ref="B43" r:id="rId42"/>
    <hyperlink ref="B44" r:id="rId43"/>
    <hyperlink ref="B45" r:id="rId44"/>
    <hyperlink ref="B46" r:id="rId45"/>
    <hyperlink ref="B47" r:id="rId46"/>
    <hyperlink ref="B48" r:id="rId47"/>
    <hyperlink ref="B49" r:id="rId48"/>
    <hyperlink ref="B50" r:id="rId49"/>
    <hyperlink ref="B51" r:id="rId50"/>
    <hyperlink ref="B52" r:id="rId51"/>
    <hyperlink ref="B53" r:id="rId52"/>
    <hyperlink ref="B54" r:id="rId53"/>
    <hyperlink ref="B55" r:id="rId54"/>
    <hyperlink ref="B56" r:id="rId55"/>
    <hyperlink ref="B57" r:id="rId56"/>
    <hyperlink ref="B58" r:id="rId57"/>
    <hyperlink ref="B59" r:id="rId58"/>
    <hyperlink ref="B60" r:id="rId59"/>
    <hyperlink ref="B61" r:id="rId60"/>
    <hyperlink ref="B62" r:id="rId61"/>
    <hyperlink ref="B63" r:id="rId62"/>
    <hyperlink ref="B64" r:id="rId63"/>
    <hyperlink ref="B65" r:id="rId64"/>
    <hyperlink ref="B66" r:id="rId65"/>
    <hyperlink ref="B67" r:id="rId66"/>
    <hyperlink ref="B68" r:id="rId67"/>
    <hyperlink ref="B69" r:id="rId68"/>
    <hyperlink ref="B70" r:id="rId69"/>
    <hyperlink ref="B71" r:id="rId70"/>
    <hyperlink ref="B72" r:id="rId71"/>
    <hyperlink ref="B73" r:id="rId72"/>
    <hyperlink ref="B74" r:id="rId73"/>
    <hyperlink ref="B75" r:id="rId74"/>
    <hyperlink ref="B76" r:id="rId75"/>
    <hyperlink ref="B77" r:id="rId76"/>
    <hyperlink ref="B78" r:id="rId77"/>
    <hyperlink ref="B79" r:id="rId78"/>
    <hyperlink ref="B80" r:id="rId79"/>
    <hyperlink ref="B81" r:id="rId80"/>
    <hyperlink ref="B82" r:id="rId81"/>
    <hyperlink ref="B83" r:id="rId82"/>
    <hyperlink ref="B84" r:id="rId83"/>
    <hyperlink ref="B85" r:id="rId84"/>
    <hyperlink ref="B86" r:id="rId85"/>
    <hyperlink ref="B87" r:id="rId86"/>
    <hyperlink ref="B88" r:id="rId87"/>
    <hyperlink ref="B89" r:id="rId88"/>
    <hyperlink ref="B90" r:id="rId89"/>
    <hyperlink ref="B91" r:id="rId90"/>
    <hyperlink ref="B92" r:id="rId91"/>
    <hyperlink ref="B93" r:id="rId92"/>
    <hyperlink ref="B94" r:id="rId93"/>
    <hyperlink ref="B95" r:id="rId94"/>
    <hyperlink ref="B96" r:id="rId95"/>
    <hyperlink ref="B97" r:id="rId96"/>
    <hyperlink ref="B98" r:id="rId97"/>
    <hyperlink ref="B99" r:id="rId98"/>
    <hyperlink ref="B100" r:id="rId99"/>
    <hyperlink ref="B101" r:id="rId100"/>
    <hyperlink ref="B102" r:id="rId101"/>
    <hyperlink ref="B103" r:id="rId102"/>
    <hyperlink ref="B104" r:id="rId103"/>
    <hyperlink ref="B105" r:id="rId104"/>
    <hyperlink ref="B106" r:id="rId105"/>
    <hyperlink ref="B107" r:id="rId106"/>
    <hyperlink ref="B108" r:id="rId107"/>
    <hyperlink ref="B109" r:id="rId108"/>
    <hyperlink ref="B110" r:id="rId109"/>
    <hyperlink ref="B111" r:id="rId110"/>
    <hyperlink ref="B112" r:id="rId111"/>
    <hyperlink ref="B113" r:id="rId112"/>
    <hyperlink ref="B114" r:id="rId113"/>
    <hyperlink ref="B115" r:id="rId114"/>
    <hyperlink ref="B116" r:id="rId115"/>
    <hyperlink ref="B117" r:id="rId116"/>
    <hyperlink ref="B118" r:id="rId117"/>
    <hyperlink ref="B119" r:id="rId118"/>
    <hyperlink ref="B120" r:id="rId119"/>
    <hyperlink ref="B121" r:id="rId120"/>
    <hyperlink ref="B122" r:id="rId121"/>
    <hyperlink ref="B123" r:id="rId122"/>
    <hyperlink ref="B124" r:id="rId123"/>
    <hyperlink ref="B125" r:id="rId124"/>
    <hyperlink ref="B126" r:id="rId125"/>
    <hyperlink ref="B127" r:id="rId126"/>
    <hyperlink ref="B128" r:id="rId127"/>
    <hyperlink ref="B129" r:id="rId128"/>
    <hyperlink ref="B130" r:id="rId129"/>
    <hyperlink ref="B131" r:id="rId130"/>
    <hyperlink ref="B132" r:id="rId131"/>
    <hyperlink ref="B133" r:id="rId132"/>
    <hyperlink ref="B134" r:id="rId133"/>
    <hyperlink ref="B135" r:id="rId134"/>
    <hyperlink ref="B136" r:id="rId135"/>
    <hyperlink ref="B137" r:id="rId136"/>
    <hyperlink ref="B138" r:id="rId137"/>
    <hyperlink ref="B139" r:id="rId138"/>
    <hyperlink ref="B140" r:id="rId139"/>
    <hyperlink ref="B141" r:id="rId140"/>
    <hyperlink ref="B142" r:id="rId141"/>
    <hyperlink ref="B143" r:id="rId142"/>
    <hyperlink ref="B144" r:id="rId143"/>
    <hyperlink ref="B145" r:id="rId144"/>
    <hyperlink ref="B146" r:id="rId145"/>
    <hyperlink ref="B147" r:id="rId146"/>
    <hyperlink ref="B148" r:id="rId147"/>
    <hyperlink ref="B149" r:id="rId148"/>
    <hyperlink ref="C2" r:id="rId149"/>
    <hyperlink ref="C3" r:id="rId150"/>
    <hyperlink ref="C4" r:id="rId151"/>
    <hyperlink ref="C5" r:id="rId152"/>
    <hyperlink ref="C6" r:id="rId153"/>
    <hyperlink ref="C7" r:id="rId154"/>
    <hyperlink ref="C8" r:id="rId155"/>
    <hyperlink ref="C9" r:id="rId156"/>
    <hyperlink ref="C10" r:id="rId157"/>
    <hyperlink ref="C11" r:id="rId158"/>
    <hyperlink ref="C12" r:id="rId159"/>
    <hyperlink ref="C13" r:id="rId160"/>
    <hyperlink ref="C14" r:id="rId161"/>
    <hyperlink ref="C15" r:id="rId162"/>
    <hyperlink ref="C16" r:id="rId163"/>
    <hyperlink ref="C17" r:id="rId164"/>
    <hyperlink ref="C18" r:id="rId165"/>
    <hyperlink ref="C19" r:id="rId166"/>
    <hyperlink ref="C20" r:id="rId167"/>
    <hyperlink ref="C21" r:id="rId168"/>
    <hyperlink ref="C22" r:id="rId169"/>
    <hyperlink ref="C23" r:id="rId170"/>
    <hyperlink ref="C24" r:id="rId171"/>
    <hyperlink ref="C25" r:id="rId172"/>
    <hyperlink ref="C26" r:id="rId173"/>
    <hyperlink ref="C27" r:id="rId174"/>
    <hyperlink ref="C28" r:id="rId175"/>
    <hyperlink ref="C29" r:id="rId176"/>
    <hyperlink ref="C30" r:id="rId177"/>
    <hyperlink ref="C31" r:id="rId178"/>
    <hyperlink ref="C32" r:id="rId179"/>
    <hyperlink ref="C33" r:id="rId180"/>
    <hyperlink ref="C34" r:id="rId181"/>
    <hyperlink ref="C35" r:id="rId182"/>
    <hyperlink ref="C36" r:id="rId183"/>
    <hyperlink ref="C37" r:id="rId184"/>
    <hyperlink ref="C38" r:id="rId185"/>
    <hyperlink ref="C39" r:id="rId186"/>
    <hyperlink ref="C40" r:id="rId187"/>
    <hyperlink ref="C41" r:id="rId188"/>
    <hyperlink ref="C42" r:id="rId189"/>
    <hyperlink ref="C43" r:id="rId190"/>
    <hyperlink ref="C44" r:id="rId191"/>
    <hyperlink ref="C45" r:id="rId192"/>
    <hyperlink ref="C46" r:id="rId193"/>
    <hyperlink ref="C47" r:id="rId194"/>
    <hyperlink ref="C48" r:id="rId195"/>
    <hyperlink ref="C49" r:id="rId196"/>
    <hyperlink ref="C50" r:id="rId197"/>
    <hyperlink ref="C51" r:id="rId198"/>
    <hyperlink ref="C52" r:id="rId199"/>
    <hyperlink ref="C53" r:id="rId200"/>
    <hyperlink ref="C54" r:id="rId201"/>
    <hyperlink ref="C55" r:id="rId202"/>
    <hyperlink ref="C56" r:id="rId203"/>
    <hyperlink ref="C57" r:id="rId204"/>
    <hyperlink ref="C58" r:id="rId205"/>
    <hyperlink ref="C59" r:id="rId206"/>
    <hyperlink ref="C60" r:id="rId207"/>
    <hyperlink ref="C61" r:id="rId208"/>
    <hyperlink ref="C62" r:id="rId209"/>
    <hyperlink ref="C63" r:id="rId210"/>
    <hyperlink ref="C64" r:id="rId211"/>
    <hyperlink ref="C65" r:id="rId212"/>
    <hyperlink ref="C66" r:id="rId213"/>
    <hyperlink ref="C67" r:id="rId214"/>
    <hyperlink ref="C68" r:id="rId215"/>
    <hyperlink ref="C69" r:id="rId216"/>
    <hyperlink ref="C70" r:id="rId217"/>
    <hyperlink ref="C71" r:id="rId218"/>
    <hyperlink ref="C72" r:id="rId219"/>
    <hyperlink ref="C73" r:id="rId220"/>
    <hyperlink ref="C74" r:id="rId221"/>
    <hyperlink ref="C75" r:id="rId222"/>
    <hyperlink ref="C76" r:id="rId223"/>
    <hyperlink ref="C77" r:id="rId224"/>
    <hyperlink ref="C78" r:id="rId225"/>
    <hyperlink ref="C79" r:id="rId226"/>
    <hyperlink ref="C80" r:id="rId227"/>
    <hyperlink ref="C81" r:id="rId228"/>
    <hyperlink ref="C82" r:id="rId229"/>
    <hyperlink ref="C83" r:id="rId230"/>
    <hyperlink ref="C84" r:id="rId231"/>
    <hyperlink ref="C85" r:id="rId232"/>
    <hyperlink ref="C86" r:id="rId233"/>
    <hyperlink ref="C87" r:id="rId234"/>
    <hyperlink ref="C88" r:id="rId235"/>
    <hyperlink ref="C89" r:id="rId236"/>
    <hyperlink ref="C90" r:id="rId237"/>
    <hyperlink ref="C91" r:id="rId238"/>
    <hyperlink ref="C92" r:id="rId239"/>
    <hyperlink ref="C93" r:id="rId240"/>
    <hyperlink ref="C94" r:id="rId241"/>
    <hyperlink ref="C95" r:id="rId242"/>
    <hyperlink ref="C96" r:id="rId243"/>
    <hyperlink ref="C97" r:id="rId244"/>
    <hyperlink ref="C98" r:id="rId245"/>
    <hyperlink ref="C99" r:id="rId246"/>
    <hyperlink ref="C100" r:id="rId247"/>
    <hyperlink ref="C101" r:id="rId248"/>
    <hyperlink ref="C102" r:id="rId249"/>
    <hyperlink ref="C103" r:id="rId250"/>
    <hyperlink ref="C104" r:id="rId251"/>
    <hyperlink ref="C105" r:id="rId252"/>
    <hyperlink ref="C106" r:id="rId253"/>
    <hyperlink ref="C107" r:id="rId254"/>
    <hyperlink ref="C108" r:id="rId255"/>
    <hyperlink ref="C109" r:id="rId256"/>
    <hyperlink ref="C110" r:id="rId257"/>
    <hyperlink ref="C111" r:id="rId258"/>
    <hyperlink ref="C112" r:id="rId259"/>
    <hyperlink ref="C113" r:id="rId260"/>
    <hyperlink ref="C114" r:id="rId261"/>
    <hyperlink ref="C115" r:id="rId262"/>
    <hyperlink ref="C116" r:id="rId263"/>
    <hyperlink ref="C117" r:id="rId264"/>
    <hyperlink ref="C118" r:id="rId265"/>
    <hyperlink ref="C119" r:id="rId266"/>
    <hyperlink ref="C120" r:id="rId267"/>
    <hyperlink ref="C121" r:id="rId268"/>
    <hyperlink ref="C122" r:id="rId269"/>
    <hyperlink ref="C123" r:id="rId270"/>
    <hyperlink ref="C124" r:id="rId271"/>
    <hyperlink ref="C125" r:id="rId272"/>
    <hyperlink ref="C126" r:id="rId273"/>
    <hyperlink ref="C127" r:id="rId274"/>
    <hyperlink ref="C128" r:id="rId275"/>
    <hyperlink ref="C129" r:id="rId276"/>
    <hyperlink ref="C130" r:id="rId277"/>
    <hyperlink ref="C131" r:id="rId278"/>
    <hyperlink ref="C132" r:id="rId279"/>
    <hyperlink ref="C133" r:id="rId280"/>
    <hyperlink ref="C134" r:id="rId281"/>
    <hyperlink ref="C135" r:id="rId282"/>
    <hyperlink ref="C136" r:id="rId283"/>
    <hyperlink ref="C137" r:id="rId284"/>
    <hyperlink ref="C138" r:id="rId285"/>
    <hyperlink ref="C139" r:id="rId286"/>
    <hyperlink ref="C140" r:id="rId287"/>
    <hyperlink ref="C141" r:id="rId288"/>
    <hyperlink ref="C142" r:id="rId289"/>
    <hyperlink ref="C143" r:id="rId290"/>
    <hyperlink ref="C144" r:id="rId291"/>
    <hyperlink ref="C145" r:id="rId292"/>
    <hyperlink ref="C146" r:id="rId293"/>
    <hyperlink ref="C147" r:id="rId294"/>
    <hyperlink ref="C148" r:id="rId295"/>
    <hyperlink ref="C149" r:id="rId296"/>
    <hyperlink ref="J2" r:id="rId297"/>
    <hyperlink ref="J3" r:id="rId298"/>
    <hyperlink ref="J4" r:id="rId299"/>
    <hyperlink ref="J5" r:id="rId300"/>
    <hyperlink ref="J6" r:id="rId301"/>
    <hyperlink ref="J7" r:id="rId302"/>
    <hyperlink ref="J8" r:id="rId303"/>
    <hyperlink ref="J9" r:id="rId304"/>
    <hyperlink ref="J10" r:id="rId305"/>
    <hyperlink ref="J11" r:id="rId306"/>
    <hyperlink ref="J12" r:id="rId307"/>
    <hyperlink ref="J13" r:id="rId308"/>
    <hyperlink ref="J14" r:id="rId309"/>
    <hyperlink ref="J15" r:id="rId310"/>
    <hyperlink ref="J16" r:id="rId311"/>
    <hyperlink ref="J17" r:id="rId312"/>
    <hyperlink ref="J18" r:id="rId313"/>
    <hyperlink ref="J19" r:id="rId314"/>
    <hyperlink ref="J20" r:id="rId315"/>
    <hyperlink ref="J21" r:id="rId316"/>
    <hyperlink ref="J22" r:id="rId317"/>
    <hyperlink ref="J23" r:id="rId318"/>
    <hyperlink ref="J24" r:id="rId319"/>
    <hyperlink ref="J25" r:id="rId320"/>
    <hyperlink ref="J26" r:id="rId321"/>
    <hyperlink ref="J27" r:id="rId322"/>
    <hyperlink ref="J28" r:id="rId323"/>
    <hyperlink ref="J29" r:id="rId324"/>
    <hyperlink ref="J30" r:id="rId325"/>
    <hyperlink ref="J31" r:id="rId326"/>
    <hyperlink ref="J32" r:id="rId327"/>
    <hyperlink ref="J33" r:id="rId328"/>
    <hyperlink ref="J34" r:id="rId329"/>
    <hyperlink ref="J35" r:id="rId330"/>
    <hyperlink ref="J36" r:id="rId331"/>
    <hyperlink ref="J37" r:id="rId332"/>
    <hyperlink ref="J38" r:id="rId333"/>
    <hyperlink ref="J39" r:id="rId334"/>
    <hyperlink ref="J40" r:id="rId335"/>
    <hyperlink ref="J41" r:id="rId336"/>
    <hyperlink ref="J42" r:id="rId337"/>
    <hyperlink ref="J43" r:id="rId338"/>
    <hyperlink ref="J44" r:id="rId339"/>
    <hyperlink ref="J45" r:id="rId340"/>
    <hyperlink ref="J46" r:id="rId341"/>
    <hyperlink ref="J47" r:id="rId342"/>
    <hyperlink ref="J48" r:id="rId343"/>
    <hyperlink ref="J49" r:id="rId344"/>
    <hyperlink ref="J50" r:id="rId345"/>
    <hyperlink ref="J51" r:id="rId346"/>
    <hyperlink ref="J52" r:id="rId347"/>
    <hyperlink ref="J53" r:id="rId348"/>
    <hyperlink ref="J54" r:id="rId349"/>
    <hyperlink ref="J55" r:id="rId350"/>
    <hyperlink ref="J56" r:id="rId351"/>
    <hyperlink ref="J57" r:id="rId352"/>
    <hyperlink ref="J58" r:id="rId353"/>
    <hyperlink ref="J59" r:id="rId354"/>
    <hyperlink ref="J60" r:id="rId355"/>
    <hyperlink ref="J61" r:id="rId356"/>
    <hyperlink ref="J62" r:id="rId357"/>
    <hyperlink ref="J63" r:id="rId358"/>
    <hyperlink ref="J64" r:id="rId359"/>
    <hyperlink ref="J65" r:id="rId360"/>
    <hyperlink ref="J66" r:id="rId361"/>
    <hyperlink ref="J67" r:id="rId362"/>
    <hyperlink ref="J68" r:id="rId363"/>
    <hyperlink ref="J69" r:id="rId364"/>
    <hyperlink ref="J70" r:id="rId365"/>
    <hyperlink ref="J71" r:id="rId366"/>
    <hyperlink ref="J72" r:id="rId367"/>
    <hyperlink ref="J73" r:id="rId368"/>
    <hyperlink ref="J74" r:id="rId369"/>
    <hyperlink ref="J75" r:id="rId370"/>
    <hyperlink ref="J76" r:id="rId371"/>
    <hyperlink ref="J77" r:id="rId372"/>
    <hyperlink ref="J78" r:id="rId373"/>
    <hyperlink ref="J79" r:id="rId374"/>
    <hyperlink ref="J80" r:id="rId375"/>
    <hyperlink ref="J81" r:id="rId376"/>
    <hyperlink ref="J82" r:id="rId377"/>
    <hyperlink ref="J83" r:id="rId378"/>
    <hyperlink ref="J84" r:id="rId379"/>
    <hyperlink ref="J85" r:id="rId380"/>
    <hyperlink ref="J86" r:id="rId381"/>
    <hyperlink ref="J87" r:id="rId382"/>
    <hyperlink ref="J88" r:id="rId383"/>
    <hyperlink ref="J89" r:id="rId384"/>
    <hyperlink ref="J90" r:id="rId385"/>
    <hyperlink ref="J91" r:id="rId386"/>
    <hyperlink ref="J92" r:id="rId387"/>
    <hyperlink ref="J93" r:id="rId388"/>
    <hyperlink ref="J94" r:id="rId389"/>
    <hyperlink ref="J95" r:id="rId390"/>
    <hyperlink ref="J96" r:id="rId391"/>
    <hyperlink ref="J97" r:id="rId392"/>
    <hyperlink ref="J98" r:id="rId393"/>
    <hyperlink ref="J99" r:id="rId394"/>
    <hyperlink ref="J100" r:id="rId395"/>
    <hyperlink ref="J101" r:id="rId396"/>
    <hyperlink ref="J102" r:id="rId397"/>
    <hyperlink ref="J103" r:id="rId398"/>
    <hyperlink ref="J104" r:id="rId399"/>
    <hyperlink ref="J105" r:id="rId400"/>
    <hyperlink ref="J106" r:id="rId401"/>
    <hyperlink ref="J107" r:id="rId402"/>
    <hyperlink ref="J108" r:id="rId403"/>
    <hyperlink ref="J109" r:id="rId404"/>
    <hyperlink ref="J110" r:id="rId405"/>
    <hyperlink ref="J111" r:id="rId406"/>
    <hyperlink ref="J112" r:id="rId407"/>
    <hyperlink ref="J113" r:id="rId408"/>
    <hyperlink ref="J114" r:id="rId409"/>
    <hyperlink ref="J115" r:id="rId410"/>
    <hyperlink ref="J116" r:id="rId411"/>
    <hyperlink ref="J117" r:id="rId412"/>
    <hyperlink ref="J118" r:id="rId413"/>
    <hyperlink ref="J119" r:id="rId414"/>
    <hyperlink ref="J120" r:id="rId415"/>
    <hyperlink ref="J121" r:id="rId416"/>
    <hyperlink ref="J122" r:id="rId417"/>
    <hyperlink ref="J123" r:id="rId418"/>
    <hyperlink ref="J124" r:id="rId419"/>
    <hyperlink ref="J125" r:id="rId420"/>
    <hyperlink ref="J126" r:id="rId421"/>
    <hyperlink ref="J127" r:id="rId422"/>
    <hyperlink ref="J128" r:id="rId423"/>
    <hyperlink ref="J129" r:id="rId424"/>
    <hyperlink ref="J130" r:id="rId425"/>
    <hyperlink ref="J131" r:id="rId426"/>
    <hyperlink ref="J132" r:id="rId427"/>
    <hyperlink ref="J133" r:id="rId428"/>
    <hyperlink ref="J134" r:id="rId429"/>
    <hyperlink ref="J135" r:id="rId430"/>
    <hyperlink ref="J136" r:id="rId431"/>
    <hyperlink ref="J137" r:id="rId432"/>
    <hyperlink ref="J138" r:id="rId433"/>
    <hyperlink ref="J139" r:id="rId434"/>
    <hyperlink ref="J140" r:id="rId435"/>
    <hyperlink ref="J141" r:id="rId436"/>
    <hyperlink ref="J142" r:id="rId437"/>
    <hyperlink ref="J143" r:id="rId438"/>
    <hyperlink ref="J144" r:id="rId439"/>
    <hyperlink ref="J145" r:id="rId440"/>
    <hyperlink ref="J146" r:id="rId441"/>
    <hyperlink ref="J147" r:id="rId442"/>
    <hyperlink ref="J148" r:id="rId443"/>
    <hyperlink ref="J149" r:id="rId444"/>
  </hyperlinks>
  <pageMargins left="0.7" right="0.7" top="0.75" bottom="0.75" header="0.3" footer="0.3"/>
  <customProperties>
    <customPr name="LastActive" r:id="rId445"/>
  </customProperties>
  <tableParts count="1">
    <tablePart r:id="rId446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S59"/>
  <sheetViews>
    <sheetView topLeftCell="A12" workbookViewId="0">
      <selection activeCell="J45" sqref="J45"/>
    </sheetView>
  </sheetViews>
  <sheetFormatPr defaultRowHeight="14.5" x14ac:dyDescent="0.35"/>
  <cols>
    <col min="19" max="19" width="17.08984375" customWidth="1"/>
  </cols>
  <sheetData>
    <row r="1" spans="1:19" x14ac:dyDescent="0.35">
      <c r="B1" t="s">
        <v>100</v>
      </c>
      <c r="C1" t="s">
        <v>101</v>
      </c>
      <c r="D1" t="s">
        <v>102</v>
      </c>
      <c r="E1" t="s">
        <v>103</v>
      </c>
      <c r="F1" t="s">
        <v>104</v>
      </c>
      <c r="G1" t="s">
        <v>105</v>
      </c>
      <c r="H1" t="s">
        <v>106</v>
      </c>
      <c r="I1" t="s">
        <v>107</v>
      </c>
      <c r="J1" t="s">
        <v>108</v>
      </c>
      <c r="K1" t="s">
        <v>109</v>
      </c>
      <c r="L1" t="s">
        <v>110</v>
      </c>
      <c r="M1" t="s">
        <v>111</v>
      </c>
      <c r="N1" t="s">
        <v>112</v>
      </c>
      <c r="O1" t="s">
        <v>113</v>
      </c>
      <c r="P1" t="s">
        <v>114</v>
      </c>
      <c r="Q1" t="s">
        <v>115</v>
      </c>
      <c r="R1" t="s">
        <v>116</v>
      </c>
      <c r="S1" t="s">
        <v>117</v>
      </c>
    </row>
    <row r="2" spans="1:19" x14ac:dyDescent="0.35">
      <c r="A2">
        <v>1</v>
      </c>
      <c r="B2" t="s">
        <v>135</v>
      </c>
      <c r="C2" t="s">
        <v>203</v>
      </c>
      <c r="D2">
        <v>12</v>
      </c>
      <c r="E2" t="s">
        <v>260</v>
      </c>
      <c r="F2" t="s">
        <v>119</v>
      </c>
      <c r="G2" t="s">
        <v>118</v>
      </c>
      <c r="H2" t="s">
        <v>324</v>
      </c>
      <c r="I2" t="s">
        <v>336</v>
      </c>
      <c r="J2">
        <v>2381740</v>
      </c>
      <c r="K2">
        <v>34586184</v>
      </c>
      <c r="L2" t="s">
        <v>423</v>
      </c>
      <c r="M2" t="s">
        <v>541</v>
      </c>
      <c r="N2">
        <v>2589581</v>
      </c>
      <c r="O2">
        <v>-8.6738680000000006</v>
      </c>
      <c r="P2">
        <v>37.093722999999997</v>
      </c>
      <c r="Q2">
        <v>11.979547999999999</v>
      </c>
      <c r="R2">
        <v>18.960028000000001</v>
      </c>
      <c r="S2" t="s">
        <v>589</v>
      </c>
    </row>
    <row r="3" spans="1:19" x14ac:dyDescent="0.35">
      <c r="A3">
        <v>2</v>
      </c>
      <c r="B3" t="s">
        <v>120</v>
      </c>
      <c r="C3" t="s">
        <v>191</v>
      </c>
      <c r="D3">
        <v>24</v>
      </c>
      <c r="E3" t="s">
        <v>248</v>
      </c>
      <c r="F3" t="s">
        <v>120</v>
      </c>
      <c r="G3" t="s">
        <v>118</v>
      </c>
      <c r="H3" t="s">
        <v>324</v>
      </c>
      <c r="I3" t="s">
        <v>325</v>
      </c>
      <c r="J3">
        <v>1246700</v>
      </c>
      <c r="K3">
        <v>13068161</v>
      </c>
      <c r="L3" t="s">
        <v>388</v>
      </c>
      <c r="M3" t="s">
        <v>529</v>
      </c>
      <c r="N3">
        <v>3351879</v>
      </c>
      <c r="O3">
        <v>11.679219</v>
      </c>
      <c r="P3">
        <v>-4.3768260000000003</v>
      </c>
      <c r="Q3">
        <v>24.082118999999999</v>
      </c>
      <c r="R3">
        <v>-18.042076000000002</v>
      </c>
      <c r="S3">
        <v>0</v>
      </c>
    </row>
    <row r="4" spans="1:19" x14ac:dyDescent="0.35">
      <c r="A4">
        <v>3</v>
      </c>
      <c r="B4" t="s">
        <v>123</v>
      </c>
      <c r="C4" t="s">
        <v>194</v>
      </c>
      <c r="D4">
        <v>204</v>
      </c>
      <c r="E4" t="s">
        <v>251</v>
      </c>
      <c r="F4" t="s">
        <v>124</v>
      </c>
      <c r="G4" t="s">
        <v>118</v>
      </c>
      <c r="H4" t="s">
        <v>324</v>
      </c>
      <c r="I4" t="s">
        <v>328</v>
      </c>
      <c r="J4">
        <v>112620</v>
      </c>
      <c r="K4">
        <v>9056010</v>
      </c>
      <c r="L4" t="s">
        <v>396</v>
      </c>
      <c r="M4" t="s">
        <v>532</v>
      </c>
      <c r="N4">
        <v>2395170</v>
      </c>
      <c r="O4">
        <v>0.77457500000000001</v>
      </c>
      <c r="P4">
        <v>12.418347000000001</v>
      </c>
      <c r="Q4">
        <v>3.8517009999999998</v>
      </c>
      <c r="R4">
        <v>6.2257480000000003</v>
      </c>
      <c r="S4">
        <v>0</v>
      </c>
    </row>
    <row r="5" spans="1:19" x14ac:dyDescent="0.35">
      <c r="A5">
        <v>4</v>
      </c>
      <c r="B5" t="s">
        <v>125</v>
      </c>
      <c r="C5" t="s">
        <v>195</v>
      </c>
      <c r="D5">
        <v>72</v>
      </c>
      <c r="E5" t="s">
        <v>252</v>
      </c>
      <c r="F5" t="s">
        <v>308</v>
      </c>
      <c r="G5" t="s">
        <v>118</v>
      </c>
      <c r="H5" t="s">
        <v>324</v>
      </c>
      <c r="I5" t="s">
        <v>329</v>
      </c>
      <c r="J5">
        <v>600370</v>
      </c>
      <c r="K5">
        <v>2029307</v>
      </c>
      <c r="L5" t="s">
        <v>54</v>
      </c>
      <c r="M5" t="s">
        <v>533</v>
      </c>
      <c r="N5">
        <v>933860</v>
      </c>
      <c r="O5">
        <v>19.999535000000002</v>
      </c>
      <c r="P5">
        <v>-17.780812999999998</v>
      </c>
      <c r="Q5">
        <v>29.360780999999999</v>
      </c>
      <c r="R5">
        <v>-26.907246000000001</v>
      </c>
      <c r="S5">
        <v>0</v>
      </c>
    </row>
    <row r="6" spans="1:19" x14ac:dyDescent="0.35">
      <c r="A6">
        <v>5</v>
      </c>
      <c r="B6" t="s">
        <v>121</v>
      </c>
      <c r="C6" t="s">
        <v>192</v>
      </c>
      <c r="D6">
        <v>854</v>
      </c>
      <c r="E6" t="s">
        <v>249</v>
      </c>
      <c r="F6" t="s">
        <v>307</v>
      </c>
      <c r="G6" t="s">
        <v>118</v>
      </c>
      <c r="H6" t="s">
        <v>324</v>
      </c>
      <c r="I6" t="s">
        <v>326</v>
      </c>
      <c r="J6">
        <v>274200</v>
      </c>
      <c r="K6">
        <v>16241811</v>
      </c>
      <c r="L6" t="s">
        <v>396</v>
      </c>
      <c r="M6" t="s">
        <v>530</v>
      </c>
      <c r="N6">
        <v>2361809</v>
      </c>
      <c r="O6">
        <v>-5.5189159999999999</v>
      </c>
      <c r="P6">
        <v>15.082592999999999</v>
      </c>
      <c r="Q6">
        <v>2.4053949999999999</v>
      </c>
      <c r="R6">
        <v>9.4011080000000007</v>
      </c>
      <c r="S6">
        <v>0</v>
      </c>
    </row>
    <row r="7" spans="1:19" x14ac:dyDescent="0.35">
      <c r="A7">
        <v>6</v>
      </c>
      <c r="B7" t="s">
        <v>122</v>
      </c>
      <c r="C7" t="s">
        <v>193</v>
      </c>
      <c r="D7">
        <v>108</v>
      </c>
      <c r="E7" t="s">
        <v>250</v>
      </c>
      <c r="F7" t="s">
        <v>126</v>
      </c>
      <c r="G7" t="s">
        <v>118</v>
      </c>
      <c r="H7" t="s">
        <v>324</v>
      </c>
      <c r="I7" t="s">
        <v>327</v>
      </c>
      <c r="J7">
        <v>27830</v>
      </c>
      <c r="K7">
        <v>9863117</v>
      </c>
      <c r="L7" t="s">
        <v>399</v>
      </c>
      <c r="M7" t="s">
        <v>531</v>
      </c>
      <c r="N7">
        <v>433561</v>
      </c>
      <c r="O7">
        <v>28.993061000000001</v>
      </c>
      <c r="P7">
        <v>-2.3101229999999999</v>
      </c>
      <c r="Q7">
        <v>30.847729000000001</v>
      </c>
      <c r="R7">
        <v>-4.465713</v>
      </c>
      <c r="S7">
        <v>0</v>
      </c>
    </row>
    <row r="8" spans="1:19" x14ac:dyDescent="0.35">
      <c r="A8">
        <v>7</v>
      </c>
      <c r="B8" t="s">
        <v>131</v>
      </c>
      <c r="C8" t="s">
        <v>200</v>
      </c>
      <c r="D8">
        <v>120</v>
      </c>
      <c r="E8" t="s">
        <v>257</v>
      </c>
      <c r="F8" t="s">
        <v>131</v>
      </c>
      <c r="G8" t="s">
        <v>118</v>
      </c>
      <c r="H8" t="s">
        <v>324</v>
      </c>
      <c r="I8" t="s">
        <v>334</v>
      </c>
      <c r="J8">
        <v>475440</v>
      </c>
      <c r="K8">
        <v>19294149</v>
      </c>
      <c r="L8" t="s">
        <v>409</v>
      </c>
      <c r="M8" t="s">
        <v>538</v>
      </c>
      <c r="N8">
        <v>2233387</v>
      </c>
      <c r="O8">
        <v>8.4947630000000007</v>
      </c>
      <c r="P8">
        <v>13.078056</v>
      </c>
      <c r="Q8">
        <v>16.192115999999999</v>
      </c>
      <c r="R8">
        <v>1.6525479999999999</v>
      </c>
      <c r="S8">
        <v>0</v>
      </c>
    </row>
    <row r="9" spans="1:19" x14ac:dyDescent="0.35">
      <c r="A9">
        <v>8</v>
      </c>
      <c r="B9" t="s">
        <v>133</v>
      </c>
      <c r="C9" t="s">
        <v>201</v>
      </c>
      <c r="D9">
        <v>132</v>
      </c>
      <c r="E9" t="s">
        <v>258</v>
      </c>
      <c r="F9" t="s">
        <v>133</v>
      </c>
      <c r="G9" t="s">
        <v>118</v>
      </c>
      <c r="H9" t="s">
        <v>324</v>
      </c>
      <c r="I9" t="s">
        <v>335</v>
      </c>
      <c r="J9">
        <v>4033</v>
      </c>
      <c r="K9">
        <v>508659</v>
      </c>
      <c r="L9" t="s">
        <v>417</v>
      </c>
      <c r="M9" t="s">
        <v>539</v>
      </c>
      <c r="N9">
        <v>3374766</v>
      </c>
      <c r="O9">
        <v>-25.358747000000001</v>
      </c>
      <c r="P9">
        <v>17.197178000000001</v>
      </c>
      <c r="Q9">
        <v>-22.669443000000001</v>
      </c>
      <c r="R9">
        <v>14.808021999999999</v>
      </c>
      <c r="S9" t="s">
        <v>588</v>
      </c>
    </row>
    <row r="10" spans="1:19" x14ac:dyDescent="0.35">
      <c r="A10">
        <v>9</v>
      </c>
      <c r="B10" t="s">
        <v>128</v>
      </c>
      <c r="C10" t="s">
        <v>197</v>
      </c>
      <c r="D10">
        <v>140</v>
      </c>
      <c r="E10" t="s">
        <v>254</v>
      </c>
      <c r="F10" t="s">
        <v>309</v>
      </c>
      <c r="G10" t="s">
        <v>118</v>
      </c>
      <c r="H10" t="s">
        <v>324</v>
      </c>
      <c r="I10" t="s">
        <v>331</v>
      </c>
      <c r="J10">
        <v>622984</v>
      </c>
      <c r="K10">
        <v>4844927</v>
      </c>
      <c r="L10" t="s">
        <v>409</v>
      </c>
      <c r="M10" t="s">
        <v>535</v>
      </c>
      <c r="N10">
        <v>239880</v>
      </c>
      <c r="O10">
        <v>14.420097</v>
      </c>
      <c r="P10">
        <v>11.007569</v>
      </c>
      <c r="Q10">
        <v>27.463421</v>
      </c>
      <c r="R10">
        <v>2.2205140000000001</v>
      </c>
      <c r="S10">
        <v>0</v>
      </c>
    </row>
    <row r="11" spans="1:19" x14ac:dyDescent="0.35">
      <c r="A11">
        <v>10</v>
      </c>
      <c r="B11" t="s">
        <v>181</v>
      </c>
      <c r="C11" t="s">
        <v>240</v>
      </c>
      <c r="D11">
        <v>148</v>
      </c>
      <c r="E11" t="s">
        <v>298</v>
      </c>
      <c r="F11" t="s">
        <v>127</v>
      </c>
      <c r="G11" t="s">
        <v>118</v>
      </c>
      <c r="H11" t="s">
        <v>324</v>
      </c>
      <c r="I11" t="s">
        <v>373</v>
      </c>
      <c r="J11">
        <v>1284000</v>
      </c>
      <c r="K11">
        <v>10543464</v>
      </c>
      <c r="L11" t="s">
        <v>409</v>
      </c>
      <c r="M11" t="s">
        <v>578</v>
      </c>
      <c r="N11">
        <v>2434508</v>
      </c>
      <c r="O11">
        <v>13.473475000000001</v>
      </c>
      <c r="P11">
        <v>23.450368999999998</v>
      </c>
      <c r="Q11">
        <v>24.002661</v>
      </c>
      <c r="R11">
        <v>7.4410679999999996</v>
      </c>
      <c r="S11">
        <v>0</v>
      </c>
    </row>
    <row r="12" spans="1:19" x14ac:dyDescent="0.35">
      <c r="A12">
        <v>11</v>
      </c>
      <c r="B12" t="s">
        <v>148</v>
      </c>
      <c r="C12" t="s">
        <v>215</v>
      </c>
      <c r="D12">
        <v>174</v>
      </c>
      <c r="E12" t="s">
        <v>272</v>
      </c>
      <c r="F12" t="s">
        <v>132</v>
      </c>
      <c r="G12" t="s">
        <v>118</v>
      </c>
      <c r="H12" t="s">
        <v>324</v>
      </c>
      <c r="I12" t="s">
        <v>348</v>
      </c>
      <c r="J12">
        <v>2170</v>
      </c>
      <c r="K12">
        <v>773407</v>
      </c>
      <c r="L12" t="s">
        <v>454</v>
      </c>
      <c r="M12" t="s">
        <v>554</v>
      </c>
      <c r="N12">
        <v>921929</v>
      </c>
      <c r="O12">
        <v>43.215789999999998</v>
      </c>
      <c r="P12">
        <v>-11.362380999999999</v>
      </c>
      <c r="Q12">
        <v>44.538223000000002</v>
      </c>
      <c r="R12">
        <v>-12.387857</v>
      </c>
      <c r="S12">
        <v>0</v>
      </c>
    </row>
    <row r="13" spans="1:19" x14ac:dyDescent="0.35">
      <c r="A13">
        <v>12</v>
      </c>
      <c r="B13" t="s">
        <v>127</v>
      </c>
      <c r="C13" t="s">
        <v>196</v>
      </c>
      <c r="D13">
        <v>180</v>
      </c>
      <c r="E13" t="s">
        <v>253</v>
      </c>
      <c r="F13" t="s">
        <v>129</v>
      </c>
      <c r="G13" t="s">
        <v>118</v>
      </c>
      <c r="H13" t="s">
        <v>324</v>
      </c>
      <c r="I13" t="s">
        <v>330</v>
      </c>
      <c r="J13">
        <v>2345410</v>
      </c>
      <c r="K13">
        <v>70916439</v>
      </c>
      <c r="L13" t="s">
        <v>408</v>
      </c>
      <c r="M13" t="s">
        <v>534</v>
      </c>
      <c r="N13">
        <v>203312</v>
      </c>
      <c r="O13">
        <v>12.204143999999999</v>
      </c>
      <c r="P13">
        <v>5.3860979999999996</v>
      </c>
      <c r="Q13">
        <v>31.305911999999999</v>
      </c>
      <c r="R13">
        <v>-13.455674999999999</v>
      </c>
      <c r="S13">
        <v>0</v>
      </c>
    </row>
    <row r="14" spans="1:19" x14ac:dyDescent="0.35">
      <c r="A14">
        <v>13</v>
      </c>
      <c r="B14" t="s">
        <v>134</v>
      </c>
      <c r="C14" t="s">
        <v>202</v>
      </c>
      <c r="D14">
        <v>262</v>
      </c>
      <c r="E14" t="s">
        <v>259</v>
      </c>
      <c r="F14" t="s">
        <v>134</v>
      </c>
      <c r="G14" t="s">
        <v>118</v>
      </c>
      <c r="H14" t="s">
        <v>324</v>
      </c>
      <c r="I14" t="s">
        <v>202</v>
      </c>
      <c r="J14">
        <v>23000</v>
      </c>
      <c r="K14">
        <v>740528</v>
      </c>
      <c r="L14" t="s">
        <v>420</v>
      </c>
      <c r="M14" t="s">
        <v>540</v>
      </c>
      <c r="N14">
        <v>223816</v>
      </c>
      <c r="O14">
        <v>41.773471999999998</v>
      </c>
      <c r="P14">
        <v>12.706833</v>
      </c>
      <c r="Q14">
        <v>43.416972999999999</v>
      </c>
      <c r="R14">
        <v>10.909917</v>
      </c>
      <c r="S14">
        <v>0</v>
      </c>
    </row>
    <row r="15" spans="1:19" x14ac:dyDescent="0.35">
      <c r="A15">
        <v>14</v>
      </c>
      <c r="B15" t="s">
        <v>136</v>
      </c>
      <c r="C15" t="s">
        <v>204</v>
      </c>
      <c r="D15">
        <v>818</v>
      </c>
      <c r="E15" t="s">
        <v>261</v>
      </c>
      <c r="F15" t="s">
        <v>136</v>
      </c>
      <c r="G15" t="s">
        <v>118</v>
      </c>
      <c r="H15" t="s">
        <v>324</v>
      </c>
      <c r="I15" t="s">
        <v>337</v>
      </c>
      <c r="J15">
        <v>1001450</v>
      </c>
      <c r="K15">
        <v>80471869</v>
      </c>
      <c r="L15" t="s">
        <v>424</v>
      </c>
      <c r="M15" t="s">
        <v>542</v>
      </c>
      <c r="N15">
        <v>357994</v>
      </c>
      <c r="O15">
        <v>24.698111000000001</v>
      </c>
      <c r="P15">
        <v>31.667334</v>
      </c>
      <c r="Q15">
        <v>36.898330688476562</v>
      </c>
      <c r="R15">
        <v>21.725389</v>
      </c>
      <c r="S15" t="s">
        <v>589</v>
      </c>
    </row>
    <row r="16" spans="1:19" x14ac:dyDescent="0.35">
      <c r="A16">
        <v>15</v>
      </c>
      <c r="B16" t="s">
        <v>145</v>
      </c>
      <c r="C16" t="s">
        <v>212</v>
      </c>
      <c r="D16">
        <v>226</v>
      </c>
      <c r="E16" t="s">
        <v>269</v>
      </c>
      <c r="F16" t="s">
        <v>313</v>
      </c>
      <c r="G16" t="s">
        <v>118</v>
      </c>
      <c r="H16" t="s">
        <v>324</v>
      </c>
      <c r="I16" t="s">
        <v>345</v>
      </c>
      <c r="J16">
        <v>28051</v>
      </c>
      <c r="K16">
        <v>1014999</v>
      </c>
      <c r="L16" t="s">
        <v>409</v>
      </c>
      <c r="M16" t="s">
        <v>550</v>
      </c>
      <c r="N16">
        <v>2309096</v>
      </c>
      <c r="O16">
        <v>9.3468649999999993</v>
      </c>
      <c r="P16">
        <v>2.3469890000000002</v>
      </c>
      <c r="Q16">
        <v>11.335724000000001</v>
      </c>
      <c r="R16">
        <v>0.92086000000000001</v>
      </c>
      <c r="S16">
        <v>0</v>
      </c>
    </row>
    <row r="17" spans="1:19" x14ac:dyDescent="0.35">
      <c r="A17">
        <v>16</v>
      </c>
      <c r="B17" t="s">
        <v>138</v>
      </c>
      <c r="C17" t="s">
        <v>206</v>
      </c>
      <c r="D17">
        <v>232</v>
      </c>
      <c r="E17" t="s">
        <v>263</v>
      </c>
      <c r="F17" t="s">
        <v>138</v>
      </c>
      <c r="G17" t="s">
        <v>118</v>
      </c>
      <c r="H17" t="s">
        <v>324</v>
      </c>
      <c r="I17" t="s">
        <v>339</v>
      </c>
      <c r="J17">
        <v>121320</v>
      </c>
      <c r="K17">
        <v>5792984</v>
      </c>
      <c r="L17" t="s">
        <v>426</v>
      </c>
      <c r="M17" t="s">
        <v>544</v>
      </c>
      <c r="N17">
        <v>338010</v>
      </c>
      <c r="O17">
        <v>36.438777999999999</v>
      </c>
      <c r="P17">
        <v>18.003084000000001</v>
      </c>
      <c r="Q17">
        <v>43.134639999999997</v>
      </c>
      <c r="R17">
        <v>12.359555</v>
      </c>
      <c r="S17">
        <v>0</v>
      </c>
    </row>
    <row r="18" spans="1:19" x14ac:dyDescent="0.35">
      <c r="A18">
        <v>17</v>
      </c>
      <c r="B18" t="s">
        <v>139</v>
      </c>
      <c r="C18" t="s">
        <v>207</v>
      </c>
      <c r="D18">
        <v>231</v>
      </c>
      <c r="E18" t="s">
        <v>264</v>
      </c>
      <c r="F18" t="s">
        <v>139</v>
      </c>
      <c r="G18" t="s">
        <v>118</v>
      </c>
      <c r="H18" t="s">
        <v>324</v>
      </c>
      <c r="I18" t="s">
        <v>340</v>
      </c>
      <c r="J18">
        <v>1127127</v>
      </c>
      <c r="K18">
        <v>88013491</v>
      </c>
      <c r="L18" t="s">
        <v>427</v>
      </c>
      <c r="M18" t="s">
        <v>545</v>
      </c>
      <c r="N18">
        <v>337996</v>
      </c>
      <c r="O18">
        <v>32.999938999999998</v>
      </c>
      <c r="P18">
        <v>14.893750000000001</v>
      </c>
      <c r="Q18">
        <v>47.986179</v>
      </c>
      <c r="R18">
        <v>3.4024220000000001</v>
      </c>
      <c r="S18" t="s">
        <v>588</v>
      </c>
    </row>
    <row r="19" spans="1:19" x14ac:dyDescent="0.35">
      <c r="A19">
        <v>18</v>
      </c>
      <c r="B19" t="s">
        <v>140</v>
      </c>
      <c r="C19" t="s">
        <v>208</v>
      </c>
      <c r="D19">
        <v>266</v>
      </c>
      <c r="E19" t="s">
        <v>265</v>
      </c>
      <c r="F19" t="s">
        <v>141</v>
      </c>
      <c r="G19" t="s">
        <v>118</v>
      </c>
      <c r="H19" t="s">
        <v>324</v>
      </c>
      <c r="I19" t="s">
        <v>341</v>
      </c>
      <c r="J19">
        <v>267667</v>
      </c>
      <c r="K19">
        <v>1545255</v>
      </c>
      <c r="L19" t="s">
        <v>409</v>
      </c>
      <c r="M19" t="s">
        <v>546</v>
      </c>
      <c r="N19">
        <v>2400553</v>
      </c>
      <c r="O19">
        <v>8.6954709999999995</v>
      </c>
      <c r="P19">
        <v>2.3226119999999999</v>
      </c>
      <c r="Q19">
        <v>14.502347</v>
      </c>
      <c r="R19">
        <v>-3.9788060000000001</v>
      </c>
      <c r="S19">
        <v>0</v>
      </c>
    </row>
    <row r="20" spans="1:19" x14ac:dyDescent="0.35">
      <c r="A20">
        <v>19</v>
      </c>
      <c r="B20" t="s">
        <v>143</v>
      </c>
      <c r="C20" t="s">
        <v>210</v>
      </c>
      <c r="D20">
        <v>270</v>
      </c>
      <c r="E20" t="s">
        <v>267</v>
      </c>
      <c r="F20" t="s">
        <v>140</v>
      </c>
      <c r="G20" t="s">
        <v>118</v>
      </c>
      <c r="H20" t="s">
        <v>324</v>
      </c>
      <c r="I20" t="s">
        <v>343</v>
      </c>
      <c r="J20">
        <v>11300</v>
      </c>
      <c r="K20">
        <v>1593256</v>
      </c>
      <c r="L20" t="s">
        <v>433</v>
      </c>
      <c r="M20" t="s">
        <v>548</v>
      </c>
      <c r="N20">
        <v>2413451</v>
      </c>
      <c r="O20">
        <v>-16.82507899999996</v>
      </c>
      <c r="P20">
        <v>13.826571</v>
      </c>
      <c r="Q20">
        <v>-13.797792999999956</v>
      </c>
      <c r="R20">
        <v>13.064252</v>
      </c>
      <c r="S20">
        <v>0</v>
      </c>
    </row>
    <row r="21" spans="1:19" x14ac:dyDescent="0.35">
      <c r="A21">
        <v>20</v>
      </c>
      <c r="B21" t="s">
        <v>142</v>
      </c>
      <c r="C21" t="s">
        <v>209</v>
      </c>
      <c r="D21">
        <v>288</v>
      </c>
      <c r="E21" t="s">
        <v>266</v>
      </c>
      <c r="F21" t="s">
        <v>142</v>
      </c>
      <c r="G21" t="s">
        <v>118</v>
      </c>
      <c r="H21" t="s">
        <v>324</v>
      </c>
      <c r="I21" t="s">
        <v>342</v>
      </c>
      <c r="J21">
        <v>239460</v>
      </c>
      <c r="K21">
        <v>24339838</v>
      </c>
      <c r="L21" t="s">
        <v>431</v>
      </c>
      <c r="M21" t="s">
        <v>547</v>
      </c>
      <c r="N21">
        <v>2300660</v>
      </c>
      <c r="O21">
        <v>-3.25542</v>
      </c>
      <c r="P21">
        <v>11.173301</v>
      </c>
      <c r="Q21">
        <v>1.191781</v>
      </c>
      <c r="R21">
        <v>4.7367229999999996</v>
      </c>
      <c r="S21">
        <v>0</v>
      </c>
    </row>
    <row r="22" spans="1:19" x14ac:dyDescent="0.35">
      <c r="A22">
        <v>21</v>
      </c>
      <c r="B22" t="s">
        <v>144</v>
      </c>
      <c r="C22" t="s">
        <v>211</v>
      </c>
      <c r="D22">
        <v>324</v>
      </c>
      <c r="E22" t="s">
        <v>268</v>
      </c>
      <c r="F22" t="s">
        <v>312</v>
      </c>
      <c r="G22" t="s">
        <v>118</v>
      </c>
      <c r="H22" t="s">
        <v>324</v>
      </c>
      <c r="I22" t="s">
        <v>344</v>
      </c>
      <c r="J22">
        <v>245857</v>
      </c>
      <c r="K22">
        <v>10324025</v>
      </c>
      <c r="L22" t="s">
        <v>434</v>
      </c>
      <c r="M22" t="s">
        <v>549</v>
      </c>
      <c r="N22">
        <v>2420477</v>
      </c>
      <c r="O22">
        <v>-14.926619000000001</v>
      </c>
      <c r="P22">
        <v>12.676220000000001</v>
      </c>
      <c r="Q22">
        <v>-7.6410710000000002</v>
      </c>
      <c r="R22">
        <v>7.1935529999999996</v>
      </c>
      <c r="S22">
        <v>0</v>
      </c>
    </row>
    <row r="23" spans="1:19" x14ac:dyDescent="0.35">
      <c r="A23">
        <v>22</v>
      </c>
      <c r="B23" t="s">
        <v>146</v>
      </c>
      <c r="C23" t="s">
        <v>213</v>
      </c>
      <c r="D23">
        <v>624</v>
      </c>
      <c r="E23" t="s">
        <v>270</v>
      </c>
      <c r="F23" t="s">
        <v>314</v>
      </c>
      <c r="G23" t="s">
        <v>118</v>
      </c>
      <c r="H23" t="s">
        <v>324</v>
      </c>
      <c r="I23" t="s">
        <v>346</v>
      </c>
      <c r="J23">
        <v>36120</v>
      </c>
      <c r="K23">
        <v>1565126</v>
      </c>
      <c r="L23" t="s">
        <v>396</v>
      </c>
      <c r="M23" t="s">
        <v>552</v>
      </c>
      <c r="N23">
        <v>2372248</v>
      </c>
      <c r="O23">
        <v>-16.717535000000002</v>
      </c>
      <c r="P23">
        <v>12.680789000000001</v>
      </c>
      <c r="Q23">
        <v>-13.636521999999999</v>
      </c>
      <c r="R23">
        <v>10.924265</v>
      </c>
      <c r="S23" t="s">
        <v>588</v>
      </c>
    </row>
    <row r="24" spans="1:19" x14ac:dyDescent="0.35">
      <c r="A24">
        <v>23</v>
      </c>
      <c r="B24" t="s">
        <v>130</v>
      </c>
      <c r="C24" t="s">
        <v>199</v>
      </c>
      <c r="D24">
        <v>384</v>
      </c>
      <c r="E24" t="s">
        <v>256</v>
      </c>
      <c r="F24" t="s">
        <v>310</v>
      </c>
      <c r="G24" t="s">
        <v>118</v>
      </c>
      <c r="H24" t="s">
        <v>324</v>
      </c>
      <c r="I24" t="s">
        <v>333</v>
      </c>
      <c r="J24">
        <v>322460</v>
      </c>
      <c r="K24">
        <v>21058798</v>
      </c>
      <c r="L24" t="s">
        <v>396</v>
      </c>
      <c r="M24" t="s">
        <v>537</v>
      </c>
      <c r="N24">
        <v>2287781</v>
      </c>
      <c r="O24">
        <v>-8.5993019999999998</v>
      </c>
      <c r="P24">
        <v>10.736642</v>
      </c>
      <c r="Q24">
        <v>-2.4948969999999999</v>
      </c>
      <c r="R24">
        <v>4.3570669999999998</v>
      </c>
      <c r="S24">
        <v>0</v>
      </c>
    </row>
    <row r="25" spans="1:19" x14ac:dyDescent="0.35">
      <c r="A25">
        <v>24</v>
      </c>
      <c r="B25" t="s">
        <v>147</v>
      </c>
      <c r="C25" t="s">
        <v>214</v>
      </c>
      <c r="D25">
        <v>404</v>
      </c>
      <c r="E25" t="s">
        <v>271</v>
      </c>
      <c r="F25" t="s">
        <v>147</v>
      </c>
      <c r="G25" t="s">
        <v>118</v>
      </c>
      <c r="H25" t="s">
        <v>324</v>
      </c>
      <c r="I25" t="s">
        <v>347</v>
      </c>
      <c r="J25">
        <v>582650</v>
      </c>
      <c r="K25">
        <v>40046566</v>
      </c>
      <c r="L25" t="s">
        <v>451</v>
      </c>
      <c r="M25" t="s">
        <v>553</v>
      </c>
      <c r="N25">
        <v>192950</v>
      </c>
      <c r="O25">
        <v>33.908859</v>
      </c>
      <c r="P25">
        <v>5.0199379999999998</v>
      </c>
      <c r="Q25">
        <v>41.899078000000003</v>
      </c>
      <c r="R25">
        <v>-4.6780470000000003</v>
      </c>
      <c r="S25" t="s">
        <v>589</v>
      </c>
    </row>
    <row r="26" spans="1:19" x14ac:dyDescent="0.35">
      <c r="A26">
        <v>25</v>
      </c>
      <c r="B26" t="s">
        <v>151</v>
      </c>
      <c r="C26" t="s">
        <v>217</v>
      </c>
      <c r="D26">
        <v>426</v>
      </c>
      <c r="E26" t="s">
        <v>274</v>
      </c>
      <c r="F26" t="s">
        <v>152</v>
      </c>
      <c r="G26" t="s">
        <v>118</v>
      </c>
      <c r="H26" t="s">
        <v>324</v>
      </c>
      <c r="I26" t="s">
        <v>350</v>
      </c>
      <c r="J26">
        <v>30355</v>
      </c>
      <c r="K26">
        <v>1919552</v>
      </c>
      <c r="L26" t="s">
        <v>462</v>
      </c>
      <c r="M26" t="s">
        <v>556</v>
      </c>
      <c r="N26">
        <v>932692</v>
      </c>
      <c r="O26">
        <v>27.011229998000001</v>
      </c>
      <c r="P26">
        <v>-28.570799999999998</v>
      </c>
      <c r="Q26">
        <v>29.455709942000102</v>
      </c>
      <c r="R26">
        <v>-30.675575002999899</v>
      </c>
      <c r="S26" t="s">
        <v>590</v>
      </c>
    </row>
    <row r="27" spans="1:19" x14ac:dyDescent="0.35">
      <c r="A27">
        <v>26</v>
      </c>
      <c r="B27" t="s">
        <v>150</v>
      </c>
      <c r="C27" t="s">
        <v>216</v>
      </c>
      <c r="D27">
        <v>430</v>
      </c>
      <c r="E27" t="s">
        <v>273</v>
      </c>
      <c r="F27" t="s">
        <v>149</v>
      </c>
      <c r="G27" t="s">
        <v>118</v>
      </c>
      <c r="H27" t="s">
        <v>324</v>
      </c>
      <c r="I27" t="s">
        <v>349</v>
      </c>
      <c r="J27">
        <v>111370</v>
      </c>
      <c r="K27">
        <v>3685076</v>
      </c>
      <c r="L27" t="s">
        <v>461</v>
      </c>
      <c r="M27" t="s">
        <v>555</v>
      </c>
      <c r="N27">
        <v>2275384</v>
      </c>
      <c r="O27">
        <v>-11.492082999999999</v>
      </c>
      <c r="P27">
        <v>8.5517909999999997</v>
      </c>
      <c r="Q27">
        <v>-7.365113</v>
      </c>
      <c r="R27">
        <v>4.3530569999999997</v>
      </c>
      <c r="S27" t="s">
        <v>588</v>
      </c>
    </row>
    <row r="28" spans="1:19" x14ac:dyDescent="0.35">
      <c r="A28">
        <v>27</v>
      </c>
      <c r="B28" t="s">
        <v>153</v>
      </c>
      <c r="C28" t="s">
        <v>218</v>
      </c>
      <c r="D28">
        <v>434</v>
      </c>
      <c r="E28" t="s">
        <v>275</v>
      </c>
      <c r="F28" t="s">
        <v>153</v>
      </c>
      <c r="G28" t="s">
        <v>118</v>
      </c>
      <c r="H28" t="s">
        <v>324</v>
      </c>
      <c r="I28" t="s">
        <v>351</v>
      </c>
      <c r="J28">
        <v>1759540</v>
      </c>
      <c r="K28">
        <v>6461454</v>
      </c>
      <c r="L28" t="s">
        <v>463</v>
      </c>
      <c r="M28" t="s">
        <v>557</v>
      </c>
      <c r="N28">
        <v>2215636</v>
      </c>
      <c r="O28">
        <v>9.3870199999999997</v>
      </c>
      <c r="P28">
        <v>33.168998999999999</v>
      </c>
      <c r="Q28">
        <v>25.150611999999999</v>
      </c>
      <c r="R28">
        <v>19.508044999999999</v>
      </c>
      <c r="S28">
        <v>0</v>
      </c>
    </row>
    <row r="29" spans="1:19" x14ac:dyDescent="0.35">
      <c r="A29">
        <v>28</v>
      </c>
      <c r="B29" t="s">
        <v>156</v>
      </c>
      <c r="C29" t="s">
        <v>220</v>
      </c>
      <c r="D29">
        <v>450</v>
      </c>
      <c r="E29" t="s">
        <v>277</v>
      </c>
      <c r="F29" t="s">
        <v>154</v>
      </c>
      <c r="G29" t="s">
        <v>118</v>
      </c>
      <c r="H29" t="s">
        <v>324</v>
      </c>
      <c r="I29" t="s">
        <v>353</v>
      </c>
      <c r="J29">
        <v>587040</v>
      </c>
      <c r="K29">
        <v>21281844</v>
      </c>
      <c r="L29" t="s">
        <v>465</v>
      </c>
      <c r="M29" t="s">
        <v>559</v>
      </c>
      <c r="N29">
        <v>1062947</v>
      </c>
      <c r="O29">
        <v>43.224876000000002</v>
      </c>
      <c r="P29">
        <v>-11.945433</v>
      </c>
      <c r="Q29">
        <v>50.483780000000003</v>
      </c>
      <c r="R29">
        <v>-25.608951999999999</v>
      </c>
      <c r="S29" t="s">
        <v>590</v>
      </c>
    </row>
    <row r="30" spans="1:19" x14ac:dyDescent="0.35">
      <c r="A30">
        <v>29</v>
      </c>
      <c r="B30" t="s">
        <v>162</v>
      </c>
      <c r="C30" t="s">
        <v>224</v>
      </c>
      <c r="D30">
        <v>454</v>
      </c>
      <c r="E30" t="s">
        <v>282</v>
      </c>
      <c r="F30" t="s">
        <v>315</v>
      </c>
      <c r="G30" t="s">
        <v>118</v>
      </c>
      <c r="H30" t="s">
        <v>324</v>
      </c>
      <c r="I30" t="s">
        <v>357</v>
      </c>
      <c r="J30">
        <v>118480</v>
      </c>
      <c r="K30">
        <v>15447500</v>
      </c>
      <c r="L30" t="s">
        <v>472</v>
      </c>
      <c r="M30" t="s">
        <v>563</v>
      </c>
      <c r="N30">
        <v>927384</v>
      </c>
      <c r="O30">
        <v>32.673949999999998</v>
      </c>
      <c r="P30">
        <v>-9.3675409999999992</v>
      </c>
      <c r="Q30">
        <v>35.916820999999999</v>
      </c>
      <c r="R30">
        <v>-17.125</v>
      </c>
      <c r="S30">
        <v>0</v>
      </c>
    </row>
    <row r="31" spans="1:19" x14ac:dyDescent="0.35">
      <c r="A31">
        <v>30</v>
      </c>
      <c r="B31" t="s">
        <v>157</v>
      </c>
      <c r="C31" t="s">
        <v>221</v>
      </c>
      <c r="D31">
        <v>466</v>
      </c>
      <c r="E31" t="s">
        <v>279</v>
      </c>
      <c r="F31" t="s">
        <v>157</v>
      </c>
      <c r="G31" t="s">
        <v>118</v>
      </c>
      <c r="H31" t="s">
        <v>324</v>
      </c>
      <c r="I31" t="s">
        <v>354</v>
      </c>
      <c r="J31">
        <v>1240000</v>
      </c>
      <c r="K31">
        <v>13796354</v>
      </c>
      <c r="L31" t="s">
        <v>396</v>
      </c>
      <c r="M31" t="s">
        <v>560</v>
      </c>
      <c r="N31">
        <v>2453866</v>
      </c>
      <c r="O31">
        <v>-12.242614</v>
      </c>
      <c r="P31">
        <v>25.000001999999999</v>
      </c>
      <c r="Q31">
        <v>4.2449680000000001</v>
      </c>
      <c r="R31">
        <v>10.159513</v>
      </c>
      <c r="S31">
        <v>0</v>
      </c>
    </row>
    <row r="32" spans="1:19" x14ac:dyDescent="0.35">
      <c r="A32">
        <v>31</v>
      </c>
      <c r="B32" t="s">
        <v>160</v>
      </c>
      <c r="C32" t="s">
        <v>222</v>
      </c>
      <c r="D32">
        <v>478</v>
      </c>
      <c r="E32" t="s">
        <v>280</v>
      </c>
      <c r="F32" t="s">
        <v>160</v>
      </c>
      <c r="G32" t="s">
        <v>118</v>
      </c>
      <c r="H32" t="s">
        <v>324</v>
      </c>
      <c r="I32" t="s">
        <v>355</v>
      </c>
      <c r="J32">
        <v>1030700</v>
      </c>
      <c r="K32">
        <v>3205060</v>
      </c>
      <c r="L32" t="s">
        <v>469</v>
      </c>
      <c r="M32" t="s">
        <v>561</v>
      </c>
      <c r="N32">
        <v>2378080</v>
      </c>
      <c r="O32">
        <v>-17.066521000000002</v>
      </c>
      <c r="P32">
        <v>27.298072999999999</v>
      </c>
      <c r="Q32">
        <v>-4.827674</v>
      </c>
      <c r="R32">
        <v>14.715547000000001</v>
      </c>
      <c r="S32">
        <v>0</v>
      </c>
    </row>
    <row r="33" spans="1:19" x14ac:dyDescent="0.35">
      <c r="A33">
        <v>32</v>
      </c>
      <c r="B33" t="s">
        <v>161</v>
      </c>
      <c r="C33" t="s">
        <v>223</v>
      </c>
      <c r="D33">
        <v>480</v>
      </c>
      <c r="E33" t="s">
        <v>281</v>
      </c>
      <c r="F33" t="s">
        <v>159</v>
      </c>
      <c r="G33" t="s">
        <v>118</v>
      </c>
      <c r="H33" t="s">
        <v>324</v>
      </c>
      <c r="I33" t="s">
        <v>356</v>
      </c>
      <c r="J33">
        <v>2040</v>
      </c>
      <c r="K33">
        <v>1294104</v>
      </c>
      <c r="L33" t="s">
        <v>470</v>
      </c>
      <c r="M33" t="s">
        <v>562</v>
      </c>
      <c r="N33">
        <v>934292</v>
      </c>
      <c r="O33">
        <v>56.512718</v>
      </c>
      <c r="P33">
        <v>-10.319255</v>
      </c>
      <c r="Q33">
        <v>63.500179000000003</v>
      </c>
      <c r="R33">
        <v>-20.525717</v>
      </c>
      <c r="S33">
        <v>0</v>
      </c>
    </row>
    <row r="34" spans="1:19" x14ac:dyDescent="0.35">
      <c r="A34">
        <v>33</v>
      </c>
      <c r="B34" t="s">
        <v>187</v>
      </c>
      <c r="C34" t="s">
        <v>245</v>
      </c>
      <c r="D34">
        <v>175</v>
      </c>
      <c r="E34" t="s">
        <v>303</v>
      </c>
      <c r="F34" t="s">
        <v>155</v>
      </c>
      <c r="G34" t="s">
        <v>118</v>
      </c>
      <c r="H34" t="s">
        <v>324</v>
      </c>
      <c r="I34" t="s">
        <v>378</v>
      </c>
      <c r="J34">
        <v>374</v>
      </c>
      <c r="K34">
        <v>159042</v>
      </c>
      <c r="L34" t="s">
        <v>382</v>
      </c>
      <c r="M34" t="s">
        <v>583</v>
      </c>
      <c r="N34">
        <v>1024031</v>
      </c>
      <c r="O34">
        <v>45.037959999999998</v>
      </c>
      <c r="P34">
        <v>-12.648891000000001</v>
      </c>
      <c r="Q34">
        <v>45.292949999999998</v>
      </c>
      <c r="R34">
        <v>-13.000132000000001</v>
      </c>
      <c r="S34" t="s">
        <v>589</v>
      </c>
    </row>
    <row r="35" spans="1:19" x14ac:dyDescent="0.35">
      <c r="A35">
        <v>34</v>
      </c>
      <c r="B35" t="s">
        <v>154</v>
      </c>
      <c r="C35" t="s">
        <v>219</v>
      </c>
      <c r="D35">
        <v>504</v>
      </c>
      <c r="E35" t="s">
        <v>276</v>
      </c>
      <c r="F35" t="s">
        <v>158</v>
      </c>
      <c r="G35" t="s">
        <v>118</v>
      </c>
      <c r="H35" t="s">
        <v>324</v>
      </c>
      <c r="I35" t="s">
        <v>352</v>
      </c>
      <c r="J35">
        <v>446550</v>
      </c>
      <c r="K35">
        <v>33848242</v>
      </c>
      <c r="L35" t="s">
        <v>425</v>
      </c>
      <c r="M35" t="s">
        <v>558</v>
      </c>
      <c r="N35">
        <v>2542007</v>
      </c>
      <c r="O35">
        <v>-13.168585999999999</v>
      </c>
      <c r="P35">
        <v>35.922496698538403</v>
      </c>
      <c r="Q35">
        <v>-0.991750000000025</v>
      </c>
      <c r="R35">
        <v>27.662115</v>
      </c>
      <c r="S35" t="s">
        <v>589</v>
      </c>
    </row>
    <row r="36" spans="1:19" x14ac:dyDescent="0.35">
      <c r="A36">
        <v>35</v>
      </c>
      <c r="B36" t="s">
        <v>163</v>
      </c>
      <c r="C36" t="s">
        <v>225</v>
      </c>
      <c r="D36">
        <v>508</v>
      </c>
      <c r="E36" t="s">
        <v>283</v>
      </c>
      <c r="F36" t="s">
        <v>163</v>
      </c>
      <c r="G36" t="s">
        <v>118</v>
      </c>
      <c r="H36" t="s">
        <v>324</v>
      </c>
      <c r="I36" t="s">
        <v>358</v>
      </c>
      <c r="J36">
        <v>801590</v>
      </c>
      <c r="K36">
        <v>22061451</v>
      </c>
      <c r="L36" t="s">
        <v>475</v>
      </c>
      <c r="M36" t="s">
        <v>564</v>
      </c>
      <c r="N36">
        <v>1036973</v>
      </c>
      <c r="O36">
        <v>30.217319</v>
      </c>
      <c r="P36">
        <v>-10.471883</v>
      </c>
      <c r="Q36">
        <v>40.842995000000002</v>
      </c>
      <c r="R36">
        <v>-26.868684999999999</v>
      </c>
      <c r="S36" t="s">
        <v>588</v>
      </c>
    </row>
    <row r="37" spans="1:19" x14ac:dyDescent="0.35">
      <c r="A37">
        <v>36</v>
      </c>
      <c r="B37" t="s">
        <v>164</v>
      </c>
      <c r="C37" t="s">
        <v>226</v>
      </c>
      <c r="D37">
        <v>516</v>
      </c>
      <c r="E37" t="s">
        <v>284</v>
      </c>
      <c r="F37" t="s">
        <v>316</v>
      </c>
      <c r="G37" t="s">
        <v>118</v>
      </c>
      <c r="H37" t="s">
        <v>324</v>
      </c>
      <c r="I37" t="s">
        <v>359</v>
      </c>
      <c r="J37">
        <v>825418</v>
      </c>
      <c r="K37">
        <v>2128471</v>
      </c>
      <c r="L37" t="s">
        <v>476</v>
      </c>
      <c r="M37" t="s">
        <v>565</v>
      </c>
      <c r="N37">
        <v>3355338</v>
      </c>
      <c r="O37">
        <v>11.715630000000001</v>
      </c>
      <c r="P37">
        <v>-16.959893999999998</v>
      </c>
      <c r="Q37">
        <v>25.256701</v>
      </c>
      <c r="R37">
        <v>-28.971430000000002</v>
      </c>
      <c r="S37">
        <v>0</v>
      </c>
    </row>
    <row r="38" spans="1:19" x14ac:dyDescent="0.35">
      <c r="A38">
        <v>37</v>
      </c>
      <c r="B38" t="s">
        <v>165</v>
      </c>
      <c r="C38" t="s">
        <v>227</v>
      </c>
      <c r="D38">
        <v>562</v>
      </c>
      <c r="E38" t="s">
        <v>285</v>
      </c>
      <c r="F38" t="s">
        <v>166</v>
      </c>
      <c r="G38" t="s">
        <v>118</v>
      </c>
      <c r="H38" t="s">
        <v>324</v>
      </c>
      <c r="I38" t="s">
        <v>360</v>
      </c>
      <c r="J38">
        <v>1267000</v>
      </c>
      <c r="K38">
        <v>15878271</v>
      </c>
      <c r="L38" t="s">
        <v>396</v>
      </c>
      <c r="M38" t="s">
        <v>566</v>
      </c>
      <c r="N38">
        <v>2440476</v>
      </c>
      <c r="O38">
        <v>0.16625000000000001</v>
      </c>
      <c r="P38">
        <v>23.525026</v>
      </c>
      <c r="Q38">
        <v>15.995642999999999</v>
      </c>
      <c r="R38">
        <v>11.696975</v>
      </c>
      <c r="S38" t="s">
        <v>588</v>
      </c>
    </row>
    <row r="39" spans="1:19" x14ac:dyDescent="0.35">
      <c r="A39">
        <v>38</v>
      </c>
      <c r="B39" t="s">
        <v>166</v>
      </c>
      <c r="C39" t="s">
        <v>228</v>
      </c>
      <c r="D39">
        <v>566</v>
      </c>
      <c r="E39" t="s">
        <v>286</v>
      </c>
      <c r="F39" t="s">
        <v>167</v>
      </c>
      <c r="G39" t="s">
        <v>118</v>
      </c>
      <c r="H39" t="s">
        <v>324</v>
      </c>
      <c r="I39" t="s">
        <v>361</v>
      </c>
      <c r="J39">
        <v>923768</v>
      </c>
      <c r="K39">
        <v>154000000</v>
      </c>
      <c r="L39" t="s">
        <v>478</v>
      </c>
      <c r="M39" t="s">
        <v>567</v>
      </c>
      <c r="N39">
        <v>2328926</v>
      </c>
      <c r="O39">
        <v>2.6684320000000001</v>
      </c>
      <c r="P39">
        <v>13.892007</v>
      </c>
      <c r="Q39">
        <v>14.680073</v>
      </c>
      <c r="R39">
        <v>4.2771439999999998</v>
      </c>
      <c r="S39" t="s">
        <v>587</v>
      </c>
    </row>
    <row r="40" spans="1:19" x14ac:dyDescent="0.35">
      <c r="A40">
        <v>39</v>
      </c>
      <c r="B40" t="s">
        <v>129</v>
      </c>
      <c r="C40" t="s">
        <v>198</v>
      </c>
      <c r="D40">
        <v>178</v>
      </c>
      <c r="E40" t="s">
        <v>255</v>
      </c>
      <c r="F40" t="s">
        <v>128</v>
      </c>
      <c r="G40" t="s">
        <v>118</v>
      </c>
      <c r="H40" t="s">
        <v>324</v>
      </c>
      <c r="I40" t="s">
        <v>332</v>
      </c>
      <c r="J40">
        <v>342000</v>
      </c>
      <c r="K40">
        <v>3039126</v>
      </c>
      <c r="L40" t="s">
        <v>409</v>
      </c>
      <c r="M40" t="s">
        <v>536</v>
      </c>
      <c r="N40">
        <v>2260494</v>
      </c>
      <c r="O40">
        <v>11.205009</v>
      </c>
      <c r="P40">
        <v>3.7030820000000002</v>
      </c>
      <c r="Q40">
        <v>18.649839</v>
      </c>
      <c r="R40">
        <v>-5.0272230000000002</v>
      </c>
      <c r="S40">
        <v>0</v>
      </c>
    </row>
    <row r="41" spans="1:19" x14ac:dyDescent="0.35">
      <c r="A41">
        <v>40</v>
      </c>
      <c r="B41" t="s">
        <v>168</v>
      </c>
      <c r="C41" t="s">
        <v>229</v>
      </c>
      <c r="D41">
        <v>638</v>
      </c>
      <c r="E41" t="s">
        <v>287</v>
      </c>
      <c r="F41" t="s">
        <v>168</v>
      </c>
      <c r="G41" t="s">
        <v>118</v>
      </c>
      <c r="H41" t="s">
        <v>324</v>
      </c>
      <c r="I41" t="s">
        <v>362</v>
      </c>
      <c r="J41">
        <v>2517</v>
      </c>
      <c r="K41">
        <v>776948</v>
      </c>
      <c r="L41" t="s">
        <v>382</v>
      </c>
      <c r="M41" t="s">
        <v>568</v>
      </c>
      <c r="N41">
        <v>935317</v>
      </c>
      <c r="O41">
        <v>55.212192247926851</v>
      </c>
      <c r="P41">
        <v>-20.868391324576944</v>
      </c>
      <c r="Q41">
        <v>55.838193901930026</v>
      </c>
      <c r="R41">
        <v>-21.383747301469107</v>
      </c>
      <c r="S41" t="s">
        <v>589</v>
      </c>
    </row>
    <row r="42" spans="1:19" x14ac:dyDescent="0.35">
      <c r="A42">
        <v>41</v>
      </c>
      <c r="B42" t="s">
        <v>169</v>
      </c>
      <c r="C42" t="s">
        <v>230</v>
      </c>
      <c r="D42">
        <v>646</v>
      </c>
      <c r="E42" t="s">
        <v>288</v>
      </c>
      <c r="F42" t="s">
        <v>169</v>
      </c>
      <c r="G42" t="s">
        <v>118</v>
      </c>
      <c r="H42" t="s">
        <v>324</v>
      </c>
      <c r="I42" t="s">
        <v>363</v>
      </c>
      <c r="J42">
        <v>26338</v>
      </c>
      <c r="K42">
        <v>11055976</v>
      </c>
      <c r="L42" t="s">
        <v>493</v>
      </c>
      <c r="M42" t="s">
        <v>569</v>
      </c>
      <c r="N42">
        <v>49518</v>
      </c>
      <c r="O42">
        <v>28.861730820620899</v>
      </c>
      <c r="P42">
        <v>-1.0471667070778501</v>
      </c>
      <c r="Q42">
        <v>30.899746641594302</v>
      </c>
      <c r="R42">
        <v>-2.8402301021374701</v>
      </c>
      <c r="S42">
        <v>0</v>
      </c>
    </row>
    <row r="43" spans="1:19" x14ac:dyDescent="0.35">
      <c r="A43">
        <v>42</v>
      </c>
      <c r="B43" t="s">
        <v>174</v>
      </c>
      <c r="C43" t="s">
        <v>233</v>
      </c>
      <c r="D43">
        <v>654</v>
      </c>
      <c r="E43" t="s">
        <v>291</v>
      </c>
      <c r="F43" t="s">
        <v>174</v>
      </c>
      <c r="G43" t="s">
        <v>118</v>
      </c>
      <c r="H43" t="s">
        <v>324</v>
      </c>
      <c r="I43" t="s">
        <v>366</v>
      </c>
      <c r="J43">
        <v>410</v>
      </c>
      <c r="K43">
        <v>7460</v>
      </c>
      <c r="L43" t="s">
        <v>500</v>
      </c>
      <c r="M43" t="s">
        <v>572</v>
      </c>
      <c r="N43">
        <v>3370751</v>
      </c>
      <c r="O43">
        <v>-14.42123</v>
      </c>
      <c r="P43">
        <v>-7.8878149999999998</v>
      </c>
      <c r="Q43">
        <v>-5.6387530000000003</v>
      </c>
      <c r="R43">
        <v>-16.019542999999999</v>
      </c>
      <c r="S43" t="s">
        <v>591</v>
      </c>
    </row>
    <row r="44" spans="1:19" x14ac:dyDescent="0.35">
      <c r="A44">
        <v>43</v>
      </c>
      <c r="B44" t="s">
        <v>179</v>
      </c>
      <c r="C44" t="s">
        <v>238</v>
      </c>
      <c r="D44">
        <v>678</v>
      </c>
      <c r="E44" t="s">
        <v>296</v>
      </c>
      <c r="F44" t="s">
        <v>319</v>
      </c>
      <c r="G44" t="s">
        <v>118</v>
      </c>
      <c r="H44" t="s">
        <v>324</v>
      </c>
      <c r="I44" t="s">
        <v>371</v>
      </c>
      <c r="J44">
        <v>1001</v>
      </c>
      <c r="K44">
        <v>175808</v>
      </c>
      <c r="L44" t="s">
        <v>505</v>
      </c>
      <c r="M44" t="s">
        <v>576</v>
      </c>
      <c r="N44">
        <v>2410758</v>
      </c>
      <c r="O44">
        <v>6.4701700000000004</v>
      </c>
      <c r="P44">
        <v>1.7013229999999999</v>
      </c>
      <c r="Q44">
        <v>7.4663740000000001</v>
      </c>
      <c r="R44">
        <v>2.4766E-2</v>
      </c>
      <c r="S44">
        <v>0</v>
      </c>
    </row>
    <row r="45" spans="1:19" x14ac:dyDescent="0.35">
      <c r="A45">
        <v>44</v>
      </c>
      <c r="B45" t="s">
        <v>176</v>
      </c>
      <c r="C45" t="s">
        <v>235</v>
      </c>
      <c r="D45">
        <v>686</v>
      </c>
      <c r="E45" t="s">
        <v>293</v>
      </c>
      <c r="F45" t="s">
        <v>173</v>
      </c>
      <c r="G45" t="s">
        <v>118</v>
      </c>
      <c r="H45" t="s">
        <v>324</v>
      </c>
      <c r="I45" t="s">
        <v>368</v>
      </c>
      <c r="J45">
        <v>196190</v>
      </c>
      <c r="K45">
        <v>12323252</v>
      </c>
      <c r="L45" t="s">
        <v>396</v>
      </c>
      <c r="M45" t="s">
        <v>574</v>
      </c>
      <c r="N45">
        <v>2245662</v>
      </c>
      <c r="O45">
        <v>-17.535236000000001</v>
      </c>
      <c r="P45">
        <v>16.691632999999999</v>
      </c>
      <c r="Q45">
        <v>-11.355886999999999</v>
      </c>
      <c r="R45">
        <v>12.307275000000001</v>
      </c>
      <c r="S45" t="s">
        <v>589</v>
      </c>
    </row>
    <row r="46" spans="1:19" x14ac:dyDescent="0.35">
      <c r="A46">
        <v>45</v>
      </c>
      <c r="B46" t="s">
        <v>170</v>
      </c>
      <c r="C46" t="s">
        <v>231</v>
      </c>
      <c r="D46">
        <v>690</v>
      </c>
      <c r="E46" t="s">
        <v>289</v>
      </c>
      <c r="F46" t="s">
        <v>172</v>
      </c>
      <c r="G46" t="s">
        <v>118</v>
      </c>
      <c r="H46" t="s">
        <v>324</v>
      </c>
      <c r="I46" t="s">
        <v>364</v>
      </c>
      <c r="J46">
        <v>455</v>
      </c>
      <c r="K46">
        <v>88340</v>
      </c>
      <c r="L46" t="s">
        <v>496</v>
      </c>
      <c r="M46" t="s">
        <v>570</v>
      </c>
      <c r="N46">
        <v>241170</v>
      </c>
      <c r="O46">
        <v>46.204768999999999</v>
      </c>
      <c r="P46">
        <v>-4.2837170000000002</v>
      </c>
      <c r="Q46">
        <v>56.297702879372991</v>
      </c>
      <c r="R46">
        <v>-9.7538669999999996</v>
      </c>
      <c r="S46">
        <v>0</v>
      </c>
    </row>
    <row r="47" spans="1:19" x14ac:dyDescent="0.35">
      <c r="A47">
        <v>46</v>
      </c>
      <c r="B47" t="s">
        <v>175</v>
      </c>
      <c r="C47" t="s">
        <v>234</v>
      </c>
      <c r="D47">
        <v>694</v>
      </c>
      <c r="E47" t="s">
        <v>292</v>
      </c>
      <c r="F47" t="s">
        <v>175</v>
      </c>
      <c r="G47" t="s">
        <v>118</v>
      </c>
      <c r="H47" t="s">
        <v>324</v>
      </c>
      <c r="I47" t="s">
        <v>367</v>
      </c>
      <c r="J47">
        <v>71740</v>
      </c>
      <c r="K47">
        <v>5245695</v>
      </c>
      <c r="L47" t="s">
        <v>501</v>
      </c>
      <c r="M47" t="s">
        <v>573</v>
      </c>
      <c r="N47">
        <v>2403846</v>
      </c>
      <c r="O47">
        <v>-13.307631000000001</v>
      </c>
      <c r="P47">
        <v>10</v>
      </c>
      <c r="Q47">
        <v>-10.284238</v>
      </c>
      <c r="R47">
        <v>6.9296110000000004</v>
      </c>
      <c r="S47">
        <v>0</v>
      </c>
    </row>
    <row r="48" spans="1:19" x14ac:dyDescent="0.35">
      <c r="A48">
        <v>47</v>
      </c>
      <c r="B48" t="s">
        <v>177</v>
      </c>
      <c r="C48" t="s">
        <v>236</v>
      </c>
      <c r="D48">
        <v>706</v>
      </c>
      <c r="E48" t="s">
        <v>294</v>
      </c>
      <c r="F48" t="s">
        <v>177</v>
      </c>
      <c r="G48" t="s">
        <v>118</v>
      </c>
      <c r="H48" t="s">
        <v>324</v>
      </c>
      <c r="I48" t="s">
        <v>369</v>
      </c>
      <c r="J48">
        <v>637657</v>
      </c>
      <c r="K48">
        <v>10112453</v>
      </c>
      <c r="L48" t="s">
        <v>502</v>
      </c>
      <c r="M48" t="s">
        <v>575</v>
      </c>
      <c r="N48">
        <v>51537</v>
      </c>
      <c r="O48">
        <v>40.986595000000001</v>
      </c>
      <c r="P48">
        <v>11.979165999999999</v>
      </c>
      <c r="Q48">
        <v>51.412635999999999</v>
      </c>
      <c r="R48">
        <v>-1.674868</v>
      </c>
      <c r="S48" t="s">
        <v>592</v>
      </c>
    </row>
    <row r="49" spans="1:19" x14ac:dyDescent="0.35">
      <c r="A49">
        <v>48</v>
      </c>
      <c r="B49" t="s">
        <v>188</v>
      </c>
      <c r="C49" t="s">
        <v>246</v>
      </c>
      <c r="D49">
        <v>710</v>
      </c>
      <c r="E49" t="s">
        <v>304</v>
      </c>
      <c r="F49" t="s">
        <v>322</v>
      </c>
      <c r="G49" t="s">
        <v>118</v>
      </c>
      <c r="H49" t="s">
        <v>324</v>
      </c>
      <c r="I49" t="s">
        <v>379</v>
      </c>
      <c r="J49">
        <v>1219912</v>
      </c>
      <c r="K49">
        <v>49000000</v>
      </c>
      <c r="L49" t="s">
        <v>526</v>
      </c>
      <c r="M49" t="s">
        <v>584</v>
      </c>
      <c r="N49">
        <v>953987</v>
      </c>
      <c r="O49">
        <v>16.451889999999999</v>
      </c>
      <c r="P49">
        <v>-22.125030057999901</v>
      </c>
      <c r="Q49">
        <v>32.944984945000002</v>
      </c>
      <c r="R49">
        <v>-34.834170002999898</v>
      </c>
      <c r="S49" t="s">
        <v>588</v>
      </c>
    </row>
    <row r="50" spans="1:19" x14ac:dyDescent="0.35">
      <c r="A50">
        <v>49</v>
      </c>
      <c r="B50" t="s">
        <v>178</v>
      </c>
      <c r="C50" t="s">
        <v>237</v>
      </c>
      <c r="D50">
        <v>728</v>
      </c>
      <c r="E50" t="s">
        <v>295</v>
      </c>
      <c r="F50" t="s">
        <v>318</v>
      </c>
      <c r="G50" t="s">
        <v>118</v>
      </c>
      <c r="H50" t="s">
        <v>324</v>
      </c>
      <c r="I50" t="s">
        <v>370</v>
      </c>
      <c r="J50">
        <v>644329</v>
      </c>
      <c r="K50">
        <v>8260490</v>
      </c>
      <c r="L50" t="s">
        <v>504</v>
      </c>
      <c r="M50" t="s">
        <v>551</v>
      </c>
      <c r="N50">
        <v>7909807</v>
      </c>
      <c r="O50">
        <v>24.140274047851563</v>
      </c>
      <c r="P50">
        <v>12.219148635864258</v>
      </c>
      <c r="Q50">
        <v>35.9405517578125</v>
      </c>
      <c r="R50">
        <v>3.4933943748474121</v>
      </c>
      <c r="S50">
        <v>0</v>
      </c>
    </row>
    <row r="51" spans="1:19" x14ac:dyDescent="0.35">
      <c r="A51">
        <v>50</v>
      </c>
      <c r="B51" t="s">
        <v>171</v>
      </c>
      <c r="C51" t="s">
        <v>232</v>
      </c>
      <c r="D51">
        <v>729</v>
      </c>
      <c r="E51" t="s">
        <v>290</v>
      </c>
      <c r="F51" t="s">
        <v>317</v>
      </c>
      <c r="G51" t="s">
        <v>118</v>
      </c>
      <c r="H51" t="s">
        <v>324</v>
      </c>
      <c r="I51" t="s">
        <v>365</v>
      </c>
      <c r="J51">
        <v>1861484</v>
      </c>
      <c r="K51">
        <v>35000000</v>
      </c>
      <c r="L51" t="s">
        <v>497</v>
      </c>
      <c r="M51" t="s">
        <v>571</v>
      </c>
      <c r="N51">
        <v>366755</v>
      </c>
      <c r="O51">
        <v>21.827774047851563</v>
      </c>
      <c r="P51">
        <v>22.232219696044922</v>
      </c>
      <c r="Q51">
        <v>38.607498168945313</v>
      </c>
      <c r="R51">
        <v>8.6847209930419922</v>
      </c>
      <c r="S51" t="s">
        <v>589</v>
      </c>
    </row>
    <row r="52" spans="1:19" x14ac:dyDescent="0.35">
      <c r="A52">
        <v>51</v>
      </c>
      <c r="B52" t="s">
        <v>180</v>
      </c>
      <c r="C52" t="s">
        <v>239</v>
      </c>
      <c r="D52">
        <v>748</v>
      </c>
      <c r="E52" t="s">
        <v>297</v>
      </c>
      <c r="F52" t="s">
        <v>320</v>
      </c>
      <c r="G52" t="s">
        <v>118</v>
      </c>
      <c r="H52" t="s">
        <v>324</v>
      </c>
      <c r="I52" t="s">
        <v>372</v>
      </c>
      <c r="J52">
        <v>17363</v>
      </c>
      <c r="K52">
        <v>1354051</v>
      </c>
      <c r="L52" t="s">
        <v>507</v>
      </c>
      <c r="M52" t="s">
        <v>577</v>
      </c>
      <c r="N52">
        <v>934841</v>
      </c>
      <c r="O52">
        <v>30.794107</v>
      </c>
      <c r="P52">
        <v>-25.719647999999999</v>
      </c>
      <c r="Q52">
        <v>32.137259999999998</v>
      </c>
      <c r="R52">
        <v>-27.317101000000001</v>
      </c>
      <c r="S52" t="s">
        <v>593</v>
      </c>
    </row>
    <row r="53" spans="1:19" x14ac:dyDescent="0.35">
      <c r="A53">
        <v>52</v>
      </c>
      <c r="B53" t="s">
        <v>185</v>
      </c>
      <c r="C53" t="s">
        <v>243</v>
      </c>
      <c r="D53">
        <v>834</v>
      </c>
      <c r="E53" t="s">
        <v>301</v>
      </c>
      <c r="F53" t="s">
        <v>185</v>
      </c>
      <c r="G53" t="s">
        <v>118</v>
      </c>
      <c r="H53" t="s">
        <v>324</v>
      </c>
      <c r="I53" t="s">
        <v>376</v>
      </c>
      <c r="J53">
        <v>945087</v>
      </c>
      <c r="K53">
        <v>41892895</v>
      </c>
      <c r="L53" t="s">
        <v>516</v>
      </c>
      <c r="M53" t="s">
        <v>581</v>
      </c>
      <c r="N53">
        <v>149590</v>
      </c>
      <c r="O53">
        <v>29.327168</v>
      </c>
      <c r="P53">
        <v>-0.99073599999999995</v>
      </c>
      <c r="Q53">
        <v>40.443221999999999</v>
      </c>
      <c r="R53">
        <v>-11.745696000000001</v>
      </c>
      <c r="S53">
        <v>0</v>
      </c>
    </row>
    <row r="54" spans="1:19" x14ac:dyDescent="0.35">
      <c r="A54">
        <v>53</v>
      </c>
      <c r="B54" t="s">
        <v>182</v>
      </c>
      <c r="C54" t="s">
        <v>241</v>
      </c>
      <c r="D54">
        <v>768</v>
      </c>
      <c r="E54" t="s">
        <v>299</v>
      </c>
      <c r="F54" t="s">
        <v>184</v>
      </c>
      <c r="G54" t="s">
        <v>118</v>
      </c>
      <c r="H54" t="s">
        <v>324</v>
      </c>
      <c r="I54" t="s">
        <v>374</v>
      </c>
      <c r="J54">
        <v>56785</v>
      </c>
      <c r="K54">
        <v>6587239</v>
      </c>
      <c r="L54" t="s">
        <v>396</v>
      </c>
      <c r="M54" t="s">
        <v>579</v>
      </c>
      <c r="N54">
        <v>2363686</v>
      </c>
      <c r="O54">
        <v>-0.14732400000000001</v>
      </c>
      <c r="P54">
        <v>11.138977000000001</v>
      </c>
      <c r="Q54">
        <v>1.8066930000000001</v>
      </c>
      <c r="R54">
        <v>6.1044169999999998</v>
      </c>
      <c r="S54">
        <v>0</v>
      </c>
    </row>
    <row r="55" spans="1:19" x14ac:dyDescent="0.35">
      <c r="A55">
        <v>54</v>
      </c>
      <c r="B55" t="s">
        <v>183</v>
      </c>
      <c r="C55" t="s">
        <v>242</v>
      </c>
      <c r="D55">
        <v>788</v>
      </c>
      <c r="E55" t="s">
        <v>300</v>
      </c>
      <c r="F55" t="s">
        <v>321</v>
      </c>
      <c r="G55" t="s">
        <v>118</v>
      </c>
      <c r="H55" t="s">
        <v>324</v>
      </c>
      <c r="I55" t="s">
        <v>375</v>
      </c>
      <c r="J55">
        <v>163610</v>
      </c>
      <c r="K55">
        <v>10589025</v>
      </c>
      <c r="L55" t="s">
        <v>511</v>
      </c>
      <c r="M55" t="s">
        <v>580</v>
      </c>
      <c r="N55">
        <v>2464461</v>
      </c>
      <c r="O55">
        <v>7.5248330000000001</v>
      </c>
      <c r="P55">
        <v>37.543914999999998</v>
      </c>
      <c r="Q55">
        <v>11.598278000000001</v>
      </c>
      <c r="R55">
        <v>30.240417000000001</v>
      </c>
      <c r="S55" t="s">
        <v>588</v>
      </c>
    </row>
    <row r="56" spans="1:19" x14ac:dyDescent="0.35">
      <c r="A56">
        <v>55</v>
      </c>
      <c r="B56" t="s">
        <v>186</v>
      </c>
      <c r="C56" t="s">
        <v>244</v>
      </c>
      <c r="D56">
        <v>800</v>
      </c>
      <c r="E56" t="s">
        <v>302</v>
      </c>
      <c r="F56" t="s">
        <v>186</v>
      </c>
      <c r="G56" t="s">
        <v>118</v>
      </c>
      <c r="H56" t="s">
        <v>324</v>
      </c>
      <c r="I56" t="s">
        <v>377</v>
      </c>
      <c r="J56">
        <v>236040</v>
      </c>
      <c r="K56">
        <v>33398682</v>
      </c>
      <c r="L56" t="s">
        <v>518</v>
      </c>
      <c r="M56" t="s">
        <v>582</v>
      </c>
      <c r="N56">
        <v>226074</v>
      </c>
      <c r="O56">
        <v>29.573465338129001</v>
      </c>
      <c r="P56">
        <v>4.2313692669032701</v>
      </c>
      <c r="Q56">
        <v>35.001053532422802</v>
      </c>
      <c r="R56">
        <v>-1.48153052848838</v>
      </c>
      <c r="S56">
        <v>0</v>
      </c>
    </row>
    <row r="57" spans="1:19" x14ac:dyDescent="0.35">
      <c r="A57">
        <v>56</v>
      </c>
      <c r="B57" t="s">
        <v>137</v>
      </c>
      <c r="C57" t="s">
        <v>205</v>
      </c>
      <c r="D57">
        <v>732</v>
      </c>
      <c r="E57" t="s">
        <v>262</v>
      </c>
      <c r="F57" t="s">
        <v>311</v>
      </c>
      <c r="G57" t="s">
        <v>118</v>
      </c>
      <c r="H57" t="s">
        <v>324</v>
      </c>
      <c r="I57" t="s">
        <v>338</v>
      </c>
      <c r="J57">
        <v>266000</v>
      </c>
      <c r="K57">
        <v>273008</v>
      </c>
      <c r="L57" t="s">
        <v>425</v>
      </c>
      <c r="M57" t="s">
        <v>543</v>
      </c>
      <c r="N57">
        <v>2461445</v>
      </c>
      <c r="O57">
        <v>-17.103182</v>
      </c>
      <c r="P57">
        <v>27.669674000000001</v>
      </c>
      <c r="Q57">
        <v>-8.6702759999999994</v>
      </c>
      <c r="R57">
        <v>20.774158</v>
      </c>
      <c r="S57">
        <v>0</v>
      </c>
    </row>
    <row r="58" spans="1:19" x14ac:dyDescent="0.35">
      <c r="A58">
        <v>57</v>
      </c>
      <c r="B58" t="s">
        <v>189</v>
      </c>
      <c r="C58" t="s">
        <v>87</v>
      </c>
      <c r="D58">
        <v>894</v>
      </c>
      <c r="E58" t="s">
        <v>305</v>
      </c>
      <c r="F58" t="s">
        <v>188</v>
      </c>
      <c r="G58" t="s">
        <v>118</v>
      </c>
      <c r="H58" t="s">
        <v>324</v>
      </c>
      <c r="I58" t="s">
        <v>380</v>
      </c>
      <c r="J58">
        <v>752614</v>
      </c>
      <c r="K58">
        <v>13460305</v>
      </c>
      <c r="L58" t="s">
        <v>527</v>
      </c>
      <c r="M58" t="s">
        <v>585</v>
      </c>
      <c r="N58">
        <v>895949</v>
      </c>
      <c r="O58">
        <v>21.999371</v>
      </c>
      <c r="P58">
        <v>-8.2243600000000008</v>
      </c>
      <c r="Q58">
        <v>33.705703999999997</v>
      </c>
      <c r="R58">
        <v>-18.079473</v>
      </c>
      <c r="S58" t="s">
        <v>589</v>
      </c>
    </row>
    <row r="59" spans="1:19" x14ac:dyDescent="0.35">
      <c r="A59">
        <v>58</v>
      </c>
      <c r="B59" t="s">
        <v>190</v>
      </c>
      <c r="C59" t="s">
        <v>247</v>
      </c>
      <c r="D59">
        <v>716</v>
      </c>
      <c r="E59" t="s">
        <v>306</v>
      </c>
      <c r="F59" t="s">
        <v>323</v>
      </c>
      <c r="G59" t="s">
        <v>118</v>
      </c>
      <c r="H59" t="s">
        <v>324</v>
      </c>
      <c r="I59" t="s">
        <v>381</v>
      </c>
      <c r="J59">
        <v>390580</v>
      </c>
      <c r="K59">
        <v>13061000</v>
      </c>
      <c r="L59" t="s">
        <v>528</v>
      </c>
      <c r="M59" t="s">
        <v>586</v>
      </c>
      <c r="N59">
        <v>878675</v>
      </c>
      <c r="O59">
        <v>25.237027999999999</v>
      </c>
      <c r="P59">
        <v>-15.608834999999999</v>
      </c>
      <c r="Q59">
        <v>33.056305000000002</v>
      </c>
      <c r="R59">
        <v>-22.417738</v>
      </c>
      <c r="S59">
        <v>0</v>
      </c>
    </row>
  </sheetData>
  <sortState ref="A2:S251">
    <sortCondition ref="G2:G251"/>
    <sortCondition ref="C2:C251"/>
  </sortState>
  <pageMargins left="0.7" right="0.7" top="0.75" bottom="0.75" header="0.3" footer="0.3"/>
  <customProperties>
    <customPr name="LastActive" r:id="rId1"/>
  </customPropertie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46"/>
  <sheetViews>
    <sheetView showGridLines="0" showRowColHeaders="0" topLeftCell="D1" workbookViewId="0">
      <selection activeCell="E7" sqref="E7"/>
    </sheetView>
  </sheetViews>
  <sheetFormatPr defaultColWidth="0" defaultRowHeight="14.5" zeroHeight="1" x14ac:dyDescent="0.35"/>
  <cols>
    <col min="1" max="3" width="8.7265625" hidden="1" customWidth="1"/>
    <col min="4" max="4" width="4.1796875" customWidth="1"/>
    <col min="5" max="5" width="14.6328125" customWidth="1"/>
    <col min="6" max="6" width="9.6328125" customWidth="1"/>
    <col min="7" max="9" width="11.6328125" customWidth="1"/>
    <col min="10" max="10" width="11.6328125" hidden="1" customWidth="1"/>
    <col min="11" max="11" width="4.1796875" customWidth="1"/>
    <col min="12" max="12" width="14.6328125" customWidth="1"/>
    <col min="13" max="13" width="9.6328125" customWidth="1"/>
    <col min="14" max="16" width="11.6328125" customWidth="1"/>
    <col min="17" max="17" width="4.1796875" customWidth="1"/>
    <col min="18" max="18" width="14.6328125" customWidth="1"/>
    <col min="19" max="19" width="9.6328125" customWidth="1"/>
    <col min="20" max="22" width="11.6328125" customWidth="1"/>
    <col min="23" max="23" width="8.7265625" hidden="1" customWidth="1"/>
    <col min="24" max="24" width="9.81640625" hidden="1" customWidth="1"/>
    <col min="25" max="16384" width="8.7265625" hidden="1"/>
  </cols>
  <sheetData>
    <row r="1" spans="5:14" ht="56" customHeight="1" x14ac:dyDescent="0.35"/>
    <row r="2" spans="5:14" x14ac:dyDescent="0.35"/>
    <row r="3" spans="5:14" ht="15" thickBot="1" x14ac:dyDescent="0.4"/>
    <row r="4" spans="5:14" ht="15" hidden="1" thickBot="1" x14ac:dyDescent="0.4">
      <c r="F4">
        <v>1</v>
      </c>
      <c r="G4">
        <v>2</v>
      </c>
      <c r="H4">
        <v>3</v>
      </c>
    </row>
    <row r="5" spans="5:14" ht="27" customHeight="1" x14ac:dyDescent="0.35">
      <c r="E5" s="284" t="s">
        <v>32</v>
      </c>
      <c r="F5" s="285"/>
      <c r="G5" s="282" t="str">
        <f>VLOOKUP(J5,Drivers!$A$5:$B$41,2,0)</f>
        <v>Mack Gwatiringa</v>
      </c>
      <c r="H5" s="282"/>
      <c r="I5" s="283"/>
      <c r="J5" s="55">
        <v>1</v>
      </c>
    </row>
    <row r="6" spans="5:14" s="2" customFormat="1" ht="17" customHeight="1" x14ac:dyDescent="0.35">
      <c r="E6" s="3" t="s">
        <v>0</v>
      </c>
      <c r="F6" s="4" t="s">
        <v>1</v>
      </c>
      <c r="G6" s="4" t="s">
        <v>2</v>
      </c>
      <c r="H6" s="4" t="s">
        <v>25</v>
      </c>
      <c r="I6" s="5" t="s">
        <v>3</v>
      </c>
      <c r="J6" s="4"/>
      <c r="M6"/>
      <c r="N6"/>
    </row>
    <row r="7" spans="5:14" x14ac:dyDescent="0.35">
      <c r="E7" s="23" t="str">
        <f>IF(Drivers!E4="","",Drivers!E4)</f>
        <v>Driver's Licence</v>
      </c>
      <c r="F7" s="24" t="str">
        <f>IF(VLOOKUP($G$5,Drivers!$B$5:$AE$41,F$4+$J7,0)="","",VLOOKUP($G$5,Drivers!$B$5:$AE$41,F$4+$J7,0))</f>
        <v>XXX11DD</v>
      </c>
      <c r="G7" s="60">
        <f>IF(VLOOKUP($G$5,Drivers!$B$5:$AE$41,G$4+$J7,0)="","",VLOOKUP($G$5,Drivers!$B$5:$AE$41,G$4+$J7,0))</f>
        <v>40179</v>
      </c>
      <c r="H7" s="60">
        <f>IF(VLOOKUP($G$5,Drivers!$B$5:$AE$41,H$4+$J7,0)="","",VLOOKUP($G$5,Drivers!$B$5:$AE$41,H$4+$J7,0))</f>
        <v>43179</v>
      </c>
      <c r="I7" s="25">
        <f t="shared" ref="I7:I15" ca="1" si="0">IF(H7="","",IFERROR(H7-TODAY(),""))</f>
        <v>-10</v>
      </c>
      <c r="J7" s="19">
        <v>3</v>
      </c>
    </row>
    <row r="8" spans="5:14" x14ac:dyDescent="0.35">
      <c r="E8" s="23" t="str">
        <f>IF(Drivers!H4="","",Drivers!H4)</f>
        <v>Passport</v>
      </c>
      <c r="F8" s="24" t="str">
        <f>IF(VLOOKUP($G$5,Drivers!$B$5:$AE$41,F$4+$J8,0)="","",VLOOKUP($G$5,Drivers!$B$5:$AE$41,F$4+$J8,0))</f>
        <v>AN22PP</v>
      </c>
      <c r="G8" s="60">
        <f>IF(VLOOKUP($G$5,Drivers!$B$5:$AE$41,G$4+$J8,0)="","",VLOOKUP($G$5,Drivers!$B$5:$AE$41,G$4+$J8,0))</f>
        <v>40605</v>
      </c>
      <c r="H8" s="60">
        <f>IF(VLOOKUP($G$5,Drivers!$B$5:$AE$41,H$4+$J8,0)="","",VLOOKUP($G$5,Drivers!$B$5:$AE$41,H$4+$J8,0))</f>
        <v>43179</v>
      </c>
      <c r="I8" s="25">
        <f t="shared" ca="1" si="0"/>
        <v>-10</v>
      </c>
      <c r="J8" s="19">
        <v>6</v>
      </c>
    </row>
    <row r="9" spans="5:14" x14ac:dyDescent="0.35">
      <c r="E9" s="23" t="str">
        <f>IF(Drivers!K4="","",Drivers!K4)</f>
        <v>Permit</v>
      </c>
      <c r="F9" s="24" t="str">
        <f>IF(VLOOKUP($G$5,Drivers!$B$5:$AE$41,F$4+$J9,0)="","",VLOOKUP($G$5,Drivers!$B$5:$AE$41,F$4+$J9,0))</f>
        <v>PP33PP</v>
      </c>
      <c r="G9" s="60">
        <f>IF(VLOOKUP($G$5,Drivers!$B$5:$AE$41,G$4+$J9,0)="","",VLOOKUP($G$5,Drivers!$B$5:$AE$41,G$4+$J9,0))</f>
        <v>41034</v>
      </c>
      <c r="H9" s="60">
        <f>IF(VLOOKUP($G$5,Drivers!$B$5:$AE$41,H$4+$J9,0)="","",VLOOKUP($G$5,Drivers!$B$5:$AE$41,H$4+$J9,0))</f>
        <v>43179</v>
      </c>
      <c r="I9" s="25">
        <f t="shared" ca="1" si="0"/>
        <v>-10</v>
      </c>
      <c r="J9" s="19">
        <v>9</v>
      </c>
    </row>
    <row r="10" spans="5:14" x14ac:dyDescent="0.35">
      <c r="E10" s="23" t="str">
        <f>IF(Drivers!N4="","",Drivers!N4)</f>
        <v>Medical</v>
      </c>
      <c r="F10" s="24" t="str">
        <f>IF(VLOOKUP($G$5,Drivers!$B$5:$AE$41,F$4+$J10,0)="","",VLOOKUP($G$5,Drivers!$B$5:$AE$41,F$4+$J10,0))</f>
        <v>MM44DD</v>
      </c>
      <c r="G10" s="60">
        <f>IF(VLOOKUP($G$5,Drivers!$B$5:$AE$41,G$4+$J10,0)="","",VLOOKUP($G$5,Drivers!$B$5:$AE$41,G$4+$J10,0))</f>
        <v>43076</v>
      </c>
      <c r="H10" s="60">
        <f>IF(VLOOKUP($G$5,Drivers!$B$5:$AE$41,H$4+$J10,0)="","",VLOOKUP($G$5,Drivers!$B$5:$AE$41,H$4+$J10,0))</f>
        <v>43179</v>
      </c>
      <c r="I10" s="25">
        <f t="shared" ca="1" si="0"/>
        <v>-10</v>
      </c>
      <c r="J10" s="19">
        <v>12</v>
      </c>
    </row>
    <row r="11" spans="5:14" x14ac:dyDescent="0.35">
      <c r="E11" s="23" t="str">
        <f>IF(Drivers!Q4="","",Drivers!Q4)</f>
        <v>Hazchem</v>
      </c>
      <c r="F11" s="24" t="str">
        <f>IF(VLOOKUP($G$5,Drivers!$B$5:$AE$41,F$4+$J11,0)="","",VLOOKUP($G$5,Drivers!$B$5:$AE$41,F$4+$J11,0))</f>
        <v>HH33PP</v>
      </c>
      <c r="G11" s="60">
        <f>IF(VLOOKUP($G$5,Drivers!$B$5:$AE$41,G$4+$J11,0)="","",VLOOKUP($G$5,Drivers!$B$5:$AE$41,G$4+$J11,0))</f>
        <v>41034</v>
      </c>
      <c r="H11" s="60">
        <f>IF(VLOOKUP($G$5,Drivers!$B$5:$AE$41,H$4+$J11,0)="","",VLOOKUP($G$5,Drivers!$B$5:$AE$41,H$4+$J11,0))</f>
        <v>41035</v>
      </c>
      <c r="I11" s="25">
        <f t="shared" ca="1" si="0"/>
        <v>-2154</v>
      </c>
      <c r="J11" s="19">
        <v>15</v>
      </c>
    </row>
    <row r="12" spans="5:14" x14ac:dyDescent="0.35">
      <c r="E12" s="23" t="str">
        <f>IF(Drivers!T4="","",Drivers!T4)</f>
        <v>International Licence</v>
      </c>
      <c r="F12" s="24" t="str">
        <f>IF(VLOOKUP($G$5,Drivers!$B$5:$AE$41,F$4+$J12,0)="","",VLOOKUP($G$5,Drivers!$B$5:$AE$41,F$4+$J12,0))</f>
        <v>IL44DD</v>
      </c>
      <c r="G12" s="60">
        <f>IF(VLOOKUP($G$5,Drivers!$B$5:$AE$41,G$4+$J12,0)="","",VLOOKUP($G$5,Drivers!$B$5:$AE$41,G$4+$J12,0))</f>
        <v>41462</v>
      </c>
      <c r="H12" s="60">
        <f>IF(VLOOKUP($G$5,Drivers!$B$5:$AE$41,H$4+$J12,0)="","",VLOOKUP($G$5,Drivers!$B$5:$AE$41,H$4+$J12,0))</f>
        <v>43179</v>
      </c>
      <c r="I12" s="25">
        <f t="shared" ca="1" si="0"/>
        <v>-10</v>
      </c>
      <c r="J12" s="19">
        <v>18</v>
      </c>
    </row>
    <row r="13" spans="5:14" x14ac:dyDescent="0.35">
      <c r="E13" s="23" t="str">
        <f>IF(Drivers!W4="","",Drivers!W4)</f>
        <v>Defensive</v>
      </c>
      <c r="F13" s="24" t="str">
        <f>IF(VLOOKUP($G$5,Drivers!$B$5:$AE$41,F$4+$J13,0)="","",VLOOKUP($G$5,Drivers!$B$5:$AE$41,F$4+$J13,0))</f>
        <v>DD44DD</v>
      </c>
      <c r="G13" s="60">
        <f>IF(VLOOKUP($G$5,Drivers!$B$5:$AE$41,G$4+$J13,0)="","",VLOOKUP($G$5,Drivers!$B$5:$AE$41,G$4+$J13,0))</f>
        <v>41462</v>
      </c>
      <c r="H13" s="60">
        <f>IF(VLOOKUP($G$5,Drivers!$B$5:$AE$41,H$4+$J13,0)="","",VLOOKUP($G$5,Drivers!$B$5:$AE$41,H$4+$J13,0))</f>
        <v>43179</v>
      </c>
      <c r="I13" s="25">
        <f t="shared" ca="1" si="0"/>
        <v>-10</v>
      </c>
      <c r="J13" s="19">
        <v>21</v>
      </c>
    </row>
    <row r="14" spans="5:14" x14ac:dyDescent="0.35">
      <c r="E14" s="23" t="str">
        <f>IF(Drivers!Z4="","",Drivers!Z4)</f>
        <v/>
      </c>
      <c r="F14" s="24" t="str">
        <f>IF(VLOOKUP($G$5,Drivers!$B$5:$AE$41,F$4+$J14,0)="","",VLOOKUP($G$5,Drivers!$B$5:$AE$41,F$4+$J14,0))</f>
        <v/>
      </c>
      <c r="G14" s="60" t="str">
        <f>IF(VLOOKUP($G$5,Drivers!$B$5:$AE$41,G$4+$J14,0)="","",VLOOKUP($G$5,Drivers!$B$5:$AE$41,G$4+$J14,0))</f>
        <v/>
      </c>
      <c r="H14" s="60" t="str">
        <f>IF(VLOOKUP($G$5,Drivers!$B$5:$AE$41,H$4+$J14,0)="","",VLOOKUP($G$5,Drivers!$B$5:$AE$41,H$4+$J14,0))</f>
        <v/>
      </c>
      <c r="I14" s="25" t="str">
        <f t="shared" ca="1" si="0"/>
        <v/>
      </c>
      <c r="J14" s="19">
        <v>24</v>
      </c>
    </row>
    <row r="15" spans="5:14" ht="15" thickBot="1" x14ac:dyDescent="0.4">
      <c r="E15" s="26" t="str">
        <f>IF(Drivers!AC4="","",Drivers!AC4)</f>
        <v/>
      </c>
      <c r="F15" s="27" t="str">
        <f>IF(VLOOKUP($G$5,Drivers!$B$5:$AE$41,F$4+$J15,0)="","",VLOOKUP($G$5,Drivers!$B$5:$AE$41,F$4+$J15,0))</f>
        <v/>
      </c>
      <c r="G15" s="61" t="str">
        <f>IF(VLOOKUP($G$5,Drivers!$B$5:$AE$41,G$4+$J15,0)="","",VLOOKUP($G$5,Drivers!$B$5:$AE$41,G$4+$J15,0))</f>
        <v/>
      </c>
      <c r="H15" s="61" t="str">
        <f>IF(VLOOKUP($G$5,Drivers!$B$5:$AE$41,H$4+$J15,0)="","",VLOOKUP($G$5,Drivers!$B$5:$AE$41,H$4+$J15,0))</f>
        <v/>
      </c>
      <c r="I15" s="28" t="str">
        <f t="shared" ca="1" si="0"/>
        <v/>
      </c>
      <c r="J15" s="19">
        <v>27</v>
      </c>
    </row>
    <row r="16" spans="5:14" ht="15" thickBot="1" x14ac:dyDescent="0.4"/>
    <row r="17" spans="1:24" ht="27" customHeight="1" x14ac:dyDescent="0.35">
      <c r="E17" s="284" t="s">
        <v>37</v>
      </c>
      <c r="F17" s="285"/>
      <c r="G17" s="286"/>
      <c r="H17" s="286"/>
      <c r="I17" s="287"/>
      <c r="J17" s="89">
        <v>4</v>
      </c>
      <c r="L17" s="279" t="s">
        <v>23</v>
      </c>
      <c r="M17" s="280"/>
      <c r="N17" s="280"/>
      <c r="O17" s="280"/>
      <c r="P17" s="281"/>
      <c r="R17" s="279" t="s">
        <v>24</v>
      </c>
      <c r="S17" s="280"/>
      <c r="T17" s="280"/>
      <c r="U17" s="280"/>
      <c r="V17" s="281"/>
    </row>
    <row r="18" spans="1:24" ht="27" hidden="1" customHeight="1" x14ac:dyDescent="0.35">
      <c r="E18" s="56"/>
      <c r="F18" s="20">
        <v>1</v>
      </c>
      <c r="G18" s="20">
        <v>2</v>
      </c>
      <c r="H18" s="20">
        <v>3</v>
      </c>
      <c r="I18" s="57"/>
      <c r="J18" s="20"/>
      <c r="L18" s="58"/>
      <c r="M18" s="20"/>
      <c r="N18" s="20"/>
      <c r="O18" s="20"/>
      <c r="P18" s="59"/>
      <c r="R18" s="58"/>
      <c r="S18" s="20"/>
      <c r="T18" s="20"/>
      <c r="U18" s="20"/>
      <c r="V18" s="59"/>
    </row>
    <row r="19" spans="1:24" s="1" customFormat="1" ht="17" customHeight="1" thickBot="1" x14ac:dyDescent="0.4">
      <c r="A19" s="1">
        <f>ROW()</f>
        <v>19</v>
      </c>
      <c r="E19" s="3" t="s">
        <v>0</v>
      </c>
      <c r="F19" s="4" t="s">
        <v>1</v>
      </c>
      <c r="G19" s="4" t="s">
        <v>2</v>
      </c>
      <c r="H19" s="4" t="s">
        <v>25</v>
      </c>
      <c r="I19" s="5" t="s">
        <v>3</v>
      </c>
      <c r="J19" s="4"/>
      <c r="L19" s="6" t="s">
        <v>0</v>
      </c>
      <c r="M19" s="4" t="s">
        <v>1</v>
      </c>
      <c r="N19" s="4" t="s">
        <v>2</v>
      </c>
      <c r="O19" s="4" t="s">
        <v>25</v>
      </c>
      <c r="P19" s="7" t="s">
        <v>3</v>
      </c>
      <c r="R19" s="6" t="s">
        <v>0</v>
      </c>
      <c r="S19" s="4" t="s">
        <v>1</v>
      </c>
      <c r="T19" s="4" t="s">
        <v>2</v>
      </c>
      <c r="U19" s="4" t="s">
        <v>25</v>
      </c>
      <c r="V19" s="7" t="s">
        <v>3</v>
      </c>
    </row>
    <row r="20" spans="1:24" x14ac:dyDescent="0.35">
      <c r="A20">
        <f t="shared" ref="A20:A37" si="1">ROW()-$A$19</f>
        <v>1</v>
      </c>
      <c r="B20" t="str">
        <f>HLOOKUP(A20&amp;"_"&amp;1,Horses!$C$1:$BB$6,5,0)</f>
        <v>H:Vehicle License</v>
      </c>
      <c r="C20">
        <f>(LEN(B20)-LEN(SUBSTITUTE(B20,"H:","")))/2</f>
        <v>1</v>
      </c>
      <c r="E20" s="98" t="str">
        <f>IFERROR(SUBSTITUTE(B20,"H:",""),"")</f>
        <v>Vehicle License</v>
      </c>
      <c r="F20" s="99" t="str">
        <f>IFERROR(INDEX(Horses!$C$6:$BB$42,Dashboard!$J$17,MATCH($A20&amp;"_"&amp;F$18,Horses!$C$1:$BB$1,0)),"")</f>
        <v>XXX11DD</v>
      </c>
      <c r="G20" s="100">
        <f>IFERROR(INDEX(Horses!$C$6:$BB$42,Dashboard!$J$17,MATCH($A20&amp;"_"&amp;G$18,Horses!$C$1:$BB$1,0)),"")</f>
        <v>40179</v>
      </c>
      <c r="H20" s="100">
        <f>IFERROR(INDEX(Horses!$C$6:$BB$42,Dashboard!$J$17,MATCH($A20&amp;"_"&amp;H$18,Horses!$C$1:$BB$1,0)),"")</f>
        <v>43151</v>
      </c>
      <c r="I20" s="25">
        <f ca="1">IF(OR(H20="",H20=0),"",IFERROR(H20-TODAY(),""))</f>
        <v>-38</v>
      </c>
      <c r="J20" s="19"/>
      <c r="L20" s="11" t="s">
        <v>22</v>
      </c>
      <c r="M20" s="9" t="s">
        <v>4</v>
      </c>
      <c r="N20" s="10">
        <v>40179</v>
      </c>
      <c r="O20" s="10">
        <v>43151</v>
      </c>
      <c r="P20" s="21">
        <f t="shared" ref="P20:P37" ca="1" si="2">IF(O20="","",IFERROR(O20-TODAY(),""))</f>
        <v>-38</v>
      </c>
      <c r="R20" s="11" t="s">
        <v>22</v>
      </c>
      <c r="S20" s="9" t="s">
        <v>4</v>
      </c>
      <c r="T20" s="10">
        <v>40179</v>
      </c>
      <c r="U20" s="10">
        <v>43151</v>
      </c>
      <c r="V20" s="21">
        <f t="shared" ref="V20:V37" ca="1" si="3">IF(U20="","",IFERROR(U20-TODAY(),""))</f>
        <v>-38</v>
      </c>
    </row>
    <row r="21" spans="1:24" x14ac:dyDescent="0.35">
      <c r="A21">
        <f t="shared" si="1"/>
        <v>2</v>
      </c>
      <c r="B21" t="str">
        <f>HLOOKUP(A21&amp;"_"&amp;1,Horses!$C$1:$BB$6,5,0)</f>
        <v>H:Service (KM)</v>
      </c>
      <c r="C21">
        <f t="shared" ref="C21:C37" si="4">(LEN(B21)-LEN(SUBSTITUTE(B21,"H:","")))/2</f>
        <v>1</v>
      </c>
      <c r="E21" s="101" t="str">
        <f t="shared" ref="E21:E37" si="5">IFERROR(SUBSTITUTE(B21,"H:",""),"")</f>
        <v>Service (KM)</v>
      </c>
      <c r="F21" s="102" t="str">
        <f>IFERROR(INDEX(Horses!$C$6:$BB$42,Dashboard!$J$17,MATCH($A21&amp;"_"&amp;F$18,Horses!$C$1:$BB$1,0)),"")</f>
        <v>100000</v>
      </c>
      <c r="G21" s="103" t="str">
        <f>IFERROR(INDEX(Horses!$C$6:$BB$42,Dashboard!$J$17,MATCH($A21&amp;"_"&amp;G$18,Horses!$C$1:$BB$1,0)),"")</f>
        <v>100000</v>
      </c>
      <c r="H21" s="103" t="str">
        <f>IFERROR(INDEX(Horses!$C$6:$BB$42,Dashboard!$J$17,MATCH($A21&amp;"_"&amp;H$18,Horses!$C$1:$BB$1,0)),"")</f>
        <v>120000</v>
      </c>
      <c r="I21" s="25">
        <f t="shared" ref="I21:I37" ca="1" si="6">IF(OR(H21="",H21=0),"",IFERROR(H21-TODAY(),""))</f>
        <v>76811</v>
      </c>
      <c r="J21" s="19"/>
      <c r="L21" s="11"/>
      <c r="M21" s="9"/>
      <c r="N21" s="10"/>
      <c r="O21" s="10"/>
      <c r="P21" s="21" t="str">
        <f t="shared" ca="1" si="2"/>
        <v/>
      </c>
      <c r="R21" s="11"/>
      <c r="S21" s="9"/>
      <c r="T21" s="10"/>
      <c r="U21" s="10"/>
      <c r="V21" s="21" t="str">
        <f t="shared" ca="1" si="3"/>
        <v/>
      </c>
    </row>
    <row r="22" spans="1:24" x14ac:dyDescent="0.35">
      <c r="A22">
        <f t="shared" si="1"/>
        <v>3</v>
      </c>
      <c r="B22" t="str">
        <f>HLOOKUP(A22&amp;"_"&amp;1,Horses!$C$1:$BB$6,5,0)</f>
        <v>H:</v>
      </c>
      <c r="C22">
        <f t="shared" si="4"/>
        <v>1</v>
      </c>
      <c r="E22" s="101" t="str">
        <f t="shared" si="5"/>
        <v/>
      </c>
      <c r="F22" s="102">
        <f>IFERROR(INDEX(Horses!$C$6:$BB$42,Dashboard!$J$17,MATCH($A22&amp;"_"&amp;F$18,Horses!$C$1:$BB$1,0)),"")</f>
        <v>0</v>
      </c>
      <c r="G22" s="103" t="str">
        <f>IFERROR(INDEX(Horses!$C$6:$BB$42,Dashboard!$J$17,MATCH($A22&amp;"_"&amp;G$18,Horses!$C$1:$BB$1,0)),"")</f>
        <v/>
      </c>
      <c r="H22" s="103" t="str">
        <f>IFERROR(INDEX(Horses!$C$6:$BB$42,Dashboard!$J$17,MATCH($A22&amp;"_"&amp;H$18,Horses!$C$1:$BB$1,0)),"")</f>
        <v/>
      </c>
      <c r="I22" s="25" t="str">
        <f t="shared" ca="1" si="6"/>
        <v/>
      </c>
      <c r="J22" s="19"/>
      <c r="L22" s="11"/>
      <c r="M22" s="9"/>
      <c r="N22" s="10"/>
      <c r="O22" s="10"/>
      <c r="P22" s="21" t="str">
        <f t="shared" ca="1" si="2"/>
        <v/>
      </c>
      <c r="R22" s="11"/>
      <c r="S22" s="9"/>
      <c r="T22" s="10"/>
      <c r="U22" s="10"/>
      <c r="V22" s="21" t="str">
        <f t="shared" ca="1" si="3"/>
        <v/>
      </c>
    </row>
    <row r="23" spans="1:24" x14ac:dyDescent="0.35">
      <c r="A23">
        <f t="shared" si="1"/>
        <v>4</v>
      </c>
      <c r="B23" t="str">
        <f>HLOOKUP(A23&amp;"_"&amp;1,Horses!$C$1:$BB$6,5,0)</f>
        <v>H:H:Zim</v>
      </c>
      <c r="C23">
        <f t="shared" si="4"/>
        <v>2</v>
      </c>
      <c r="E23" s="101" t="str">
        <f t="shared" si="5"/>
        <v>Zim</v>
      </c>
      <c r="F23" s="102">
        <f>IFERROR(INDEX(Horses!$C$6:$BB$42,Dashboard!$J$17,MATCH($A23&amp;"_"&amp;F$18,Horses!$C$1:$BB$1,0)),"")</f>
        <v>0</v>
      </c>
      <c r="G23" s="103" t="str">
        <f>IFERROR(INDEX(Horses!$C$6:$BB$42,Dashboard!$J$17,MATCH($A23&amp;"_"&amp;G$18,Horses!$C$1:$BB$1,0)),"")</f>
        <v/>
      </c>
      <c r="H23" s="103" t="str">
        <f>IFERROR(INDEX(Horses!$C$6:$BB$42,Dashboard!$J$17,MATCH($A23&amp;"_"&amp;H$18,Horses!$C$1:$BB$1,0)),"")</f>
        <v/>
      </c>
      <c r="I23" s="25" t="str">
        <f t="shared" ca="1" si="6"/>
        <v/>
      </c>
      <c r="J23" s="19"/>
      <c r="L23" s="13" t="s">
        <v>11</v>
      </c>
      <c r="M23" s="9"/>
      <c r="N23" s="10"/>
      <c r="O23" s="10"/>
      <c r="P23" s="21" t="str">
        <f t="shared" ca="1" si="2"/>
        <v/>
      </c>
      <c r="R23" s="13" t="s">
        <v>11</v>
      </c>
      <c r="S23" s="9"/>
      <c r="T23" s="10"/>
      <c r="U23" s="10"/>
      <c r="V23" s="21" t="str">
        <f t="shared" ca="1" si="3"/>
        <v/>
      </c>
    </row>
    <row r="24" spans="1:24" x14ac:dyDescent="0.35">
      <c r="A24">
        <f t="shared" si="1"/>
        <v>5</v>
      </c>
      <c r="B24" t="str">
        <f>HLOOKUP(A24&amp;"_"&amp;1,Horses!$C$1:$BB$6,5,0)</f>
        <v>H:Permit</v>
      </c>
      <c r="C24">
        <f t="shared" si="4"/>
        <v>1</v>
      </c>
      <c r="E24" s="101" t="str">
        <f t="shared" si="5"/>
        <v>Permit</v>
      </c>
      <c r="F24" s="102" t="str">
        <f>IFERROR(INDEX(Horses!$C$6:$BB$42,Dashboard!$J$17,MATCH($A24&amp;"_"&amp;F$18,Horses!$C$1:$BB$1,0)),"")</f>
        <v>XXX11DD</v>
      </c>
      <c r="G24" s="103">
        <f>IFERROR(INDEX(Horses!$C$6:$BB$42,Dashboard!$J$17,MATCH($A24&amp;"_"&amp;G$18,Horses!$C$1:$BB$1,0)),"")</f>
        <v>40179</v>
      </c>
      <c r="H24" s="103">
        <f>IFERROR(INDEX(Horses!$C$6:$BB$42,Dashboard!$J$17,MATCH($A24&amp;"_"&amp;H$18,Horses!$C$1:$BB$1,0)),"")</f>
        <v>43133</v>
      </c>
      <c r="I24" s="25">
        <f t="shared" ca="1" si="6"/>
        <v>-56</v>
      </c>
      <c r="J24" s="19"/>
      <c r="L24" s="11"/>
      <c r="M24" s="9"/>
      <c r="N24" s="10"/>
      <c r="O24" s="10"/>
      <c r="P24" s="21" t="str">
        <f t="shared" ca="1" si="2"/>
        <v/>
      </c>
      <c r="R24" s="11"/>
      <c r="S24" s="9"/>
      <c r="T24" s="10"/>
      <c r="U24" s="10"/>
      <c r="V24" s="21" t="str">
        <f t="shared" ca="1" si="3"/>
        <v/>
      </c>
      <c r="X24" s="8"/>
    </row>
    <row r="25" spans="1:24" x14ac:dyDescent="0.35">
      <c r="A25">
        <f t="shared" si="1"/>
        <v>6</v>
      </c>
      <c r="B25" t="str">
        <f>HLOOKUP(A25&amp;"_"&amp;1,Horses!$C$1:$BB$6,5,0)</f>
        <v>H:CVG</v>
      </c>
      <c r="C25">
        <f t="shared" si="4"/>
        <v>1</v>
      </c>
      <c r="E25" s="101" t="str">
        <f t="shared" si="5"/>
        <v>CVG</v>
      </c>
      <c r="F25" s="102" t="str">
        <f>IFERROR(INDEX(Horses!$C$6:$BB$42,Dashboard!$J$17,MATCH($A25&amp;"_"&amp;F$18,Horses!$C$1:$BB$1,0)),"")</f>
        <v>AN22PP</v>
      </c>
      <c r="G25" s="103">
        <f>IFERROR(INDEX(Horses!$C$6:$BB$42,Dashboard!$J$17,MATCH($A25&amp;"_"&amp;G$18,Horses!$C$1:$BB$1,0)),"")</f>
        <v>40605</v>
      </c>
      <c r="H25" s="103">
        <f>IFERROR(INDEX(Horses!$C$6:$BB$42,Dashboard!$J$17,MATCH($A25&amp;"_"&amp;H$18,Horses!$C$1:$BB$1,0)),"")</f>
        <v>43559</v>
      </c>
      <c r="I25" s="25">
        <f t="shared" ca="1" si="6"/>
        <v>370</v>
      </c>
      <c r="J25" s="19"/>
      <c r="L25" s="11" t="s">
        <v>12</v>
      </c>
      <c r="M25" s="9" t="s">
        <v>10</v>
      </c>
      <c r="N25" s="10">
        <v>41462</v>
      </c>
      <c r="O25" s="10">
        <v>43685</v>
      </c>
      <c r="P25" s="21">
        <f t="shared" ca="1" si="2"/>
        <v>496</v>
      </c>
      <c r="R25" s="11" t="s">
        <v>12</v>
      </c>
      <c r="S25" s="9" t="s">
        <v>10</v>
      </c>
      <c r="T25" s="10">
        <v>41462</v>
      </c>
      <c r="U25" s="10">
        <v>43685</v>
      </c>
      <c r="V25" s="21">
        <f t="shared" ca="1" si="3"/>
        <v>496</v>
      </c>
      <c r="X25" s="8"/>
    </row>
    <row r="26" spans="1:24" x14ac:dyDescent="0.35">
      <c r="A26">
        <f t="shared" si="1"/>
        <v>7</v>
      </c>
      <c r="B26" t="str">
        <f>HLOOKUP(A26&amp;"_"&amp;1,Horses!$C$1:$BB$6,5,0)</f>
        <v>H:Insurance</v>
      </c>
      <c r="C26">
        <f t="shared" si="4"/>
        <v>1</v>
      </c>
      <c r="E26" s="101" t="str">
        <f t="shared" si="5"/>
        <v>Insurance</v>
      </c>
      <c r="F26" s="102" t="str">
        <f>IFERROR(INDEX(Horses!$C$6:$BB$42,Dashboard!$J$17,MATCH($A26&amp;"_"&amp;F$18,Horses!$C$1:$BB$1,0)),"")</f>
        <v>PP33PP</v>
      </c>
      <c r="G26" s="103">
        <f>IFERROR(INDEX(Horses!$C$6:$BB$42,Dashboard!$J$17,MATCH($A26&amp;"_"&amp;G$18,Horses!$C$1:$BB$1,0)),"")</f>
        <v>41034</v>
      </c>
      <c r="H26" s="103">
        <f>IFERROR(INDEX(Horses!$C$6:$BB$42,Dashboard!$J$17,MATCH($A26&amp;"_"&amp;H$18,Horses!$C$1:$BB$1,0)),"")</f>
        <v>43622</v>
      </c>
      <c r="I26" s="25">
        <f t="shared" ca="1" si="6"/>
        <v>433</v>
      </c>
      <c r="J26" s="19"/>
      <c r="L26" s="11" t="s">
        <v>13</v>
      </c>
      <c r="M26" s="9" t="s">
        <v>8</v>
      </c>
      <c r="N26" s="10">
        <v>41034</v>
      </c>
      <c r="O26" s="10">
        <v>43622</v>
      </c>
      <c r="P26" s="21">
        <f t="shared" ca="1" si="2"/>
        <v>433</v>
      </c>
      <c r="R26" s="11" t="s">
        <v>13</v>
      </c>
      <c r="S26" s="9" t="s">
        <v>8</v>
      </c>
      <c r="T26" s="10">
        <v>41034</v>
      </c>
      <c r="U26" s="10">
        <v>43622</v>
      </c>
      <c r="V26" s="21">
        <f t="shared" ca="1" si="3"/>
        <v>433</v>
      </c>
      <c r="X26" s="8"/>
    </row>
    <row r="27" spans="1:24" x14ac:dyDescent="0.35">
      <c r="A27">
        <f t="shared" si="1"/>
        <v>8</v>
      </c>
      <c r="B27" t="str">
        <f>HLOOKUP(A27&amp;"_"&amp;1,Horses!$C$1:$BB$6,5,0)</f>
        <v>H:Carbon Tax</v>
      </c>
      <c r="C27">
        <f t="shared" si="4"/>
        <v>1</v>
      </c>
      <c r="E27" s="101" t="str">
        <f t="shared" si="5"/>
        <v>Carbon Tax</v>
      </c>
      <c r="F27" s="102" t="str">
        <f>IFERROR(INDEX(Horses!$C$6:$BB$42,Dashboard!$J$17,MATCH($A27&amp;"_"&amp;F$18,Horses!$C$1:$BB$1,0)),"")</f>
        <v>MM44DD</v>
      </c>
      <c r="G27" s="103">
        <f>IFERROR(INDEX(Horses!$C$6:$BB$42,Dashboard!$J$17,MATCH($A27&amp;"_"&amp;G$18,Horses!$C$1:$BB$1,0)),"")</f>
        <v>41462</v>
      </c>
      <c r="H27" s="103">
        <f>IFERROR(INDEX(Horses!$C$6:$BB$42,Dashboard!$J$17,MATCH($A27&amp;"_"&amp;H$18,Horses!$C$1:$BB$1,0)),"")</f>
        <v>43685</v>
      </c>
      <c r="I27" s="25">
        <f t="shared" ca="1" si="6"/>
        <v>496</v>
      </c>
      <c r="J27" s="19"/>
      <c r="L27" s="11"/>
      <c r="M27" s="9"/>
      <c r="N27" s="10"/>
      <c r="O27" s="10"/>
      <c r="P27" s="21" t="str">
        <f t="shared" ca="1" si="2"/>
        <v/>
      </c>
      <c r="R27" s="11"/>
      <c r="S27" s="9"/>
      <c r="T27" s="10"/>
      <c r="U27" s="10"/>
      <c r="V27" s="21" t="str">
        <f t="shared" ca="1" si="3"/>
        <v/>
      </c>
      <c r="X27" s="8"/>
    </row>
    <row r="28" spans="1:24" x14ac:dyDescent="0.35">
      <c r="A28">
        <f t="shared" si="1"/>
        <v>9</v>
      </c>
      <c r="B28" t="str">
        <f>HLOOKUP(A28&amp;"_"&amp;1,Horses!$C$1:$BB$6,5,0)</f>
        <v>H:</v>
      </c>
      <c r="C28">
        <f t="shared" si="4"/>
        <v>1</v>
      </c>
      <c r="E28" s="101" t="str">
        <f t="shared" si="5"/>
        <v/>
      </c>
      <c r="F28" s="102">
        <f>IFERROR(INDEX(Horses!$C$6:$BB$42,Dashboard!$J$17,MATCH($A28&amp;"_"&amp;F$18,Horses!$C$1:$BB$1,0)),"")</f>
        <v>0</v>
      </c>
      <c r="G28" s="103" t="str">
        <f>IFERROR(INDEX(Horses!$C$6:$BB$42,Dashboard!$J$17,MATCH($A28&amp;"_"&amp;G$18,Horses!$C$1:$BB$1,0)),"")</f>
        <v/>
      </c>
      <c r="H28" s="103" t="str">
        <f>IFERROR(INDEX(Horses!$C$6:$BB$42,Dashboard!$J$17,MATCH($A28&amp;"_"&amp;H$18,Horses!$C$1:$BB$1,0)),"")</f>
        <v/>
      </c>
      <c r="I28" s="25" t="str">
        <f t="shared" ca="1" si="6"/>
        <v/>
      </c>
      <c r="J28" s="19"/>
      <c r="L28" s="11"/>
      <c r="M28" s="9"/>
      <c r="N28" s="10"/>
      <c r="O28" s="10"/>
      <c r="P28" s="21" t="str">
        <f t="shared" ca="1" si="2"/>
        <v/>
      </c>
      <c r="R28" s="11"/>
      <c r="S28" s="9"/>
      <c r="T28" s="10"/>
      <c r="U28" s="10"/>
      <c r="V28" s="21" t="str">
        <f t="shared" ca="1" si="3"/>
        <v/>
      </c>
      <c r="X28" s="8"/>
    </row>
    <row r="29" spans="1:24" x14ac:dyDescent="0.35">
      <c r="A29">
        <f t="shared" si="1"/>
        <v>10</v>
      </c>
      <c r="B29" t="str">
        <f>HLOOKUP(A29&amp;"_"&amp;1,Horses!$C$1:$BB$6,5,0)</f>
        <v>H:H:Zam</v>
      </c>
      <c r="C29">
        <f t="shared" si="4"/>
        <v>2</v>
      </c>
      <c r="E29" s="101" t="str">
        <f t="shared" si="5"/>
        <v>Zam</v>
      </c>
      <c r="F29" s="102">
        <f>IFERROR(INDEX(Horses!$C$6:$BB$42,Dashboard!$J$17,MATCH($A29&amp;"_"&amp;F$18,Horses!$C$1:$BB$1,0)),"")</f>
        <v>0</v>
      </c>
      <c r="G29" s="103" t="str">
        <f>IFERROR(INDEX(Horses!$C$6:$BB$42,Dashboard!$J$17,MATCH($A29&amp;"_"&amp;G$18,Horses!$C$1:$BB$1,0)),"")</f>
        <v/>
      </c>
      <c r="H29" s="103" t="str">
        <f>IFERROR(INDEX(Horses!$C$6:$BB$42,Dashboard!$J$17,MATCH($A29&amp;"_"&amp;H$18,Horses!$C$1:$BB$1,0)),"")</f>
        <v/>
      </c>
      <c r="I29" s="25" t="str">
        <f t="shared" ca="1" si="6"/>
        <v/>
      </c>
      <c r="J29" s="19"/>
      <c r="L29" s="11"/>
      <c r="M29" s="9"/>
      <c r="N29" s="10"/>
      <c r="O29" s="10"/>
      <c r="P29" s="21" t="str">
        <f t="shared" ca="1" si="2"/>
        <v/>
      </c>
      <c r="R29" s="11"/>
      <c r="S29" s="9"/>
      <c r="T29" s="10"/>
      <c r="U29" s="10"/>
      <c r="V29" s="21" t="str">
        <f t="shared" ca="1" si="3"/>
        <v/>
      </c>
      <c r="X29" s="8"/>
    </row>
    <row r="30" spans="1:24" x14ac:dyDescent="0.35">
      <c r="A30">
        <f t="shared" si="1"/>
        <v>11</v>
      </c>
      <c r="B30" t="str">
        <f>HLOOKUP(A30&amp;"_"&amp;1,Horses!$C$1:$BB$6,5,0)</f>
        <v>H:Permit</v>
      </c>
      <c r="C30">
        <f t="shared" si="4"/>
        <v>1</v>
      </c>
      <c r="E30" s="101" t="str">
        <f t="shared" si="5"/>
        <v>Permit</v>
      </c>
      <c r="F30" s="102" t="str">
        <f>IFERROR(INDEX(Horses!$C$6:$BB$42,Dashboard!$J$17,MATCH($A30&amp;"_"&amp;F$18,Horses!$C$1:$BB$1,0)),"")</f>
        <v>XXX11DD</v>
      </c>
      <c r="G30" s="103">
        <f>IFERROR(INDEX(Horses!$C$6:$BB$42,Dashboard!$J$17,MATCH($A30&amp;"_"&amp;G$18,Horses!$C$1:$BB$1,0)),"")</f>
        <v>40179</v>
      </c>
      <c r="H30" s="103">
        <f>IFERROR(INDEX(Horses!$C$6:$BB$42,Dashboard!$J$17,MATCH($A30&amp;"_"&amp;H$18,Horses!$C$1:$BB$1,0)),"")</f>
        <v>43133</v>
      </c>
      <c r="I30" s="25">
        <f t="shared" ca="1" si="6"/>
        <v>-56</v>
      </c>
      <c r="J30" s="19"/>
      <c r="L30" s="11"/>
      <c r="M30" s="9"/>
      <c r="N30" s="10"/>
      <c r="O30" s="10"/>
      <c r="P30" s="21" t="str">
        <f t="shared" ca="1" si="2"/>
        <v/>
      </c>
      <c r="R30" s="11"/>
      <c r="S30" s="9"/>
      <c r="T30" s="10"/>
      <c r="U30" s="10"/>
      <c r="V30" s="21" t="str">
        <f t="shared" ca="1" si="3"/>
        <v/>
      </c>
      <c r="X30" s="8"/>
    </row>
    <row r="31" spans="1:24" x14ac:dyDescent="0.35">
      <c r="A31">
        <f t="shared" si="1"/>
        <v>12</v>
      </c>
      <c r="B31" t="str">
        <f>HLOOKUP(A31&amp;"_"&amp;1,Horses!$C$1:$BB$6,5,0)</f>
        <v>H:Carrier's License</v>
      </c>
      <c r="C31">
        <f t="shared" si="4"/>
        <v>1</v>
      </c>
      <c r="E31" s="101" t="str">
        <f t="shared" si="5"/>
        <v>Carrier's License</v>
      </c>
      <c r="F31" s="102" t="str">
        <f>IFERROR(INDEX(Horses!$C$6:$BB$42,Dashboard!$J$17,MATCH($A31&amp;"_"&amp;F$18,Horses!$C$1:$BB$1,0)),"")</f>
        <v>AN22PP</v>
      </c>
      <c r="G31" s="103">
        <f>IFERROR(INDEX(Horses!$C$6:$BB$42,Dashboard!$J$17,MATCH($A31&amp;"_"&amp;G$18,Horses!$C$1:$BB$1,0)),"")</f>
        <v>40605</v>
      </c>
      <c r="H31" s="103">
        <f>IFERROR(INDEX(Horses!$C$6:$BB$42,Dashboard!$J$17,MATCH($A31&amp;"_"&amp;H$18,Horses!$C$1:$BB$1,0)),"")</f>
        <v>43559</v>
      </c>
      <c r="I31" s="25">
        <f t="shared" ca="1" si="6"/>
        <v>370</v>
      </c>
      <c r="J31" s="19"/>
      <c r="L31" s="13" t="s">
        <v>14</v>
      </c>
      <c r="M31" s="9"/>
      <c r="N31" s="10"/>
      <c r="O31" s="10"/>
      <c r="P31" s="21" t="str">
        <f t="shared" ca="1" si="2"/>
        <v/>
      </c>
      <c r="R31" s="13" t="s">
        <v>14</v>
      </c>
      <c r="S31" s="9"/>
      <c r="T31" s="10"/>
      <c r="U31" s="10"/>
      <c r="V31" s="21" t="str">
        <f t="shared" ca="1" si="3"/>
        <v/>
      </c>
      <c r="X31" s="8"/>
    </row>
    <row r="32" spans="1:24" x14ac:dyDescent="0.35">
      <c r="A32">
        <f t="shared" si="1"/>
        <v>13</v>
      </c>
      <c r="B32" t="str">
        <f>HLOOKUP(A32&amp;"_"&amp;1,Horses!$C$1:$BB$6,5,0)</f>
        <v>H:Insurance</v>
      </c>
      <c r="C32">
        <f t="shared" si="4"/>
        <v>1</v>
      </c>
      <c r="E32" s="101" t="str">
        <f t="shared" si="5"/>
        <v>Insurance</v>
      </c>
      <c r="F32" s="102" t="str">
        <f>IFERROR(INDEX(Horses!$C$6:$BB$42,Dashboard!$J$17,MATCH($A32&amp;"_"&amp;F$18,Horses!$C$1:$BB$1,0)),"")</f>
        <v>PP33PP</v>
      </c>
      <c r="G32" s="103">
        <f>IFERROR(INDEX(Horses!$C$6:$BB$42,Dashboard!$J$17,MATCH($A32&amp;"_"&amp;G$18,Horses!$C$1:$BB$1,0)),"")</f>
        <v>41034</v>
      </c>
      <c r="H32" s="103">
        <f>IFERROR(INDEX(Horses!$C$6:$BB$42,Dashboard!$J$17,MATCH($A32&amp;"_"&amp;H$18,Horses!$C$1:$BB$1,0)),"")</f>
        <v>43622</v>
      </c>
      <c r="I32" s="25">
        <f t="shared" ca="1" si="6"/>
        <v>433</v>
      </c>
      <c r="J32" s="19"/>
      <c r="L32" s="11" t="s">
        <v>13</v>
      </c>
      <c r="M32" s="9" t="s">
        <v>8</v>
      </c>
      <c r="N32" s="10">
        <v>41034</v>
      </c>
      <c r="O32" s="10">
        <v>43622</v>
      </c>
      <c r="P32" s="21">
        <f t="shared" ca="1" si="2"/>
        <v>433</v>
      </c>
      <c r="R32" s="11" t="s">
        <v>13</v>
      </c>
      <c r="S32" s="9" t="s">
        <v>8</v>
      </c>
      <c r="T32" s="10">
        <v>41034</v>
      </c>
      <c r="U32" s="10">
        <v>43622</v>
      </c>
      <c r="V32" s="21">
        <f t="shared" ca="1" si="3"/>
        <v>433</v>
      </c>
      <c r="X32" s="8"/>
    </row>
    <row r="33" spans="1:24" x14ac:dyDescent="0.35">
      <c r="A33">
        <f t="shared" si="1"/>
        <v>14</v>
      </c>
      <c r="B33" t="str">
        <f>HLOOKUP(A33&amp;"_"&amp;1,Horses!$C$1:$BB$6,5,0)</f>
        <v>H:Carbon Tax (3 Mnts)</v>
      </c>
      <c r="C33">
        <f t="shared" si="4"/>
        <v>1</v>
      </c>
      <c r="E33" s="101" t="str">
        <f t="shared" si="5"/>
        <v>Carbon Tax (3 Mnts)</v>
      </c>
      <c r="F33" s="102" t="str">
        <f>IFERROR(INDEX(Horses!$C$6:$BB$42,Dashboard!$J$17,MATCH($A33&amp;"_"&amp;F$18,Horses!$C$1:$BB$1,0)),"")</f>
        <v>MM44DD</v>
      </c>
      <c r="G33" s="103">
        <f>IFERROR(INDEX(Horses!$C$6:$BB$42,Dashboard!$J$17,MATCH($A33&amp;"_"&amp;G$18,Horses!$C$1:$BB$1,0)),"")</f>
        <v>43288</v>
      </c>
      <c r="H33" s="103">
        <f>IFERROR(INDEX(Horses!$C$6:$BB$42,Dashboard!$J$17,MATCH($A33&amp;"_"&amp;H$18,Horses!$C$1:$BB$1,0)),"")</f>
        <v>43380</v>
      </c>
      <c r="I33" s="25">
        <f t="shared" ca="1" si="6"/>
        <v>191</v>
      </c>
      <c r="J33" s="19"/>
      <c r="L33" s="11"/>
      <c r="M33" s="9"/>
      <c r="N33" s="10">
        <v>40179</v>
      </c>
      <c r="O33" s="10">
        <v>43179</v>
      </c>
      <c r="P33" s="21">
        <f t="shared" ca="1" si="2"/>
        <v>-10</v>
      </c>
      <c r="R33" s="11"/>
      <c r="S33" s="9"/>
      <c r="T33" s="10">
        <v>40179</v>
      </c>
      <c r="U33" s="10">
        <v>43179</v>
      </c>
      <c r="V33" s="21">
        <f t="shared" ca="1" si="3"/>
        <v>-10</v>
      </c>
      <c r="X33" s="8"/>
    </row>
    <row r="34" spans="1:24" x14ac:dyDescent="0.35">
      <c r="A34">
        <f t="shared" si="1"/>
        <v>15</v>
      </c>
      <c r="B34" t="e">
        <f>HLOOKUP(A34&amp;"_"&amp;1,Horses!$C$1:$BB$6,5,0)</f>
        <v>#N/A</v>
      </c>
      <c r="C34" t="e">
        <f t="shared" si="4"/>
        <v>#N/A</v>
      </c>
      <c r="E34" s="101" t="str">
        <f t="shared" si="5"/>
        <v/>
      </c>
      <c r="F34" s="102" t="str">
        <f>IFERROR(INDEX(Horses!$C$6:$BB$42,Dashboard!$J$17,MATCH($A34&amp;"_"&amp;F$18,Horses!$C$1:$BB$1,0)),"")</f>
        <v/>
      </c>
      <c r="G34" s="103" t="str">
        <f>IFERROR(INDEX(Horses!$C$6:$BB$42,Dashboard!$J$17,MATCH($A34&amp;"_"&amp;G$18,Horses!$C$1:$BB$1,0)),"")</f>
        <v/>
      </c>
      <c r="H34" s="103" t="str">
        <f>IFERROR(INDEX(Horses!$C$6:$BB$42,Dashboard!$J$17,MATCH($A34&amp;"_"&amp;H$18,Horses!$C$1:$BB$1,0)),"")</f>
        <v/>
      </c>
      <c r="I34" s="25" t="str">
        <f t="shared" ca="1" si="6"/>
        <v/>
      </c>
      <c r="J34" s="19"/>
      <c r="L34" s="11"/>
      <c r="M34" s="9"/>
      <c r="N34" s="10"/>
      <c r="O34" s="10"/>
      <c r="P34" s="21" t="str">
        <f t="shared" ca="1" si="2"/>
        <v/>
      </c>
      <c r="R34" s="11"/>
      <c r="S34" s="9"/>
      <c r="T34" s="10"/>
      <c r="U34" s="10"/>
      <c r="V34" s="21" t="str">
        <f t="shared" ca="1" si="3"/>
        <v/>
      </c>
      <c r="X34" s="8"/>
    </row>
    <row r="35" spans="1:24" x14ac:dyDescent="0.35">
      <c r="A35">
        <f t="shared" si="1"/>
        <v>16</v>
      </c>
      <c r="B35" t="e">
        <f>HLOOKUP(A35&amp;"_"&amp;1,Horses!$C$1:$BB$6,5,0)</f>
        <v>#N/A</v>
      </c>
      <c r="C35" t="e">
        <f t="shared" si="4"/>
        <v>#N/A</v>
      </c>
      <c r="E35" s="101" t="str">
        <f t="shared" si="5"/>
        <v/>
      </c>
      <c r="F35" s="102" t="str">
        <f>IFERROR(INDEX(Horses!$C$6:$BB$42,Dashboard!$J$17,MATCH($A35&amp;"_"&amp;F$18,Horses!$C$1:$BB$1,0)),"")</f>
        <v/>
      </c>
      <c r="G35" s="103" t="str">
        <f>IFERROR(INDEX(Horses!$C$6:$BB$42,Dashboard!$J$17,MATCH($A35&amp;"_"&amp;G$18,Horses!$C$1:$BB$1,0)),"")</f>
        <v/>
      </c>
      <c r="H35" s="103" t="str">
        <f>IFERROR(INDEX(Horses!$C$6:$BB$42,Dashboard!$J$17,MATCH($A35&amp;"_"&amp;H$18,Horses!$C$1:$BB$1,0)),"")</f>
        <v/>
      </c>
      <c r="I35" s="25" t="str">
        <f t="shared" ca="1" si="6"/>
        <v/>
      </c>
      <c r="J35" s="19"/>
      <c r="L35" s="11"/>
      <c r="M35" s="9"/>
      <c r="N35" s="10"/>
      <c r="O35" s="10"/>
      <c r="P35" s="21" t="str">
        <f t="shared" ca="1" si="2"/>
        <v/>
      </c>
      <c r="R35" s="11"/>
      <c r="S35" s="9"/>
      <c r="T35" s="10"/>
      <c r="U35" s="10"/>
      <c r="V35" s="21" t="str">
        <f t="shared" ca="1" si="3"/>
        <v/>
      </c>
      <c r="X35" s="8"/>
    </row>
    <row r="36" spans="1:24" x14ac:dyDescent="0.35">
      <c r="A36">
        <f t="shared" si="1"/>
        <v>17</v>
      </c>
      <c r="B36" t="e">
        <f>HLOOKUP(A36&amp;"_"&amp;1,Horses!$C$1:$BB$6,5,0)</f>
        <v>#N/A</v>
      </c>
      <c r="C36" t="e">
        <f t="shared" si="4"/>
        <v>#N/A</v>
      </c>
      <c r="E36" s="101" t="str">
        <f t="shared" si="5"/>
        <v/>
      </c>
      <c r="F36" s="102" t="str">
        <f>IFERROR(INDEX(Horses!$C$6:$BB$42,Dashboard!$J$17,MATCH($A36&amp;"_"&amp;F$18,Horses!$C$1:$BB$1,0)),"")</f>
        <v/>
      </c>
      <c r="G36" s="103" t="str">
        <f>IFERROR(INDEX(Horses!$C$6:$BB$42,Dashboard!$J$17,MATCH($A36&amp;"_"&amp;G$18,Horses!$C$1:$BB$1,0)),"")</f>
        <v/>
      </c>
      <c r="H36" s="103" t="str">
        <f>IFERROR(INDEX(Horses!$C$6:$BB$42,Dashboard!$J$17,MATCH($A36&amp;"_"&amp;H$18,Horses!$C$1:$BB$1,0)),"")</f>
        <v/>
      </c>
      <c r="I36" s="25" t="str">
        <f t="shared" ca="1" si="6"/>
        <v/>
      </c>
      <c r="J36" s="19"/>
      <c r="L36" s="11"/>
      <c r="M36" s="9"/>
      <c r="N36" s="10"/>
      <c r="O36" s="10"/>
      <c r="P36" s="21" t="str">
        <f t="shared" ca="1" si="2"/>
        <v/>
      </c>
      <c r="R36" s="11"/>
      <c r="S36" s="9"/>
      <c r="T36" s="10"/>
      <c r="U36" s="10"/>
      <c r="V36" s="21" t="str">
        <f t="shared" ca="1" si="3"/>
        <v/>
      </c>
      <c r="X36" s="8"/>
    </row>
    <row r="37" spans="1:24" ht="15" thickBot="1" x14ac:dyDescent="0.4">
      <c r="A37">
        <f t="shared" si="1"/>
        <v>18</v>
      </c>
      <c r="B37" t="e">
        <f>HLOOKUP(A37&amp;"_"&amp;1,Horses!$C$1:$BB$6,5,0)</f>
        <v>#N/A</v>
      </c>
      <c r="C37" t="e">
        <f t="shared" si="4"/>
        <v>#N/A</v>
      </c>
      <c r="E37" s="104" t="str">
        <f t="shared" si="5"/>
        <v/>
      </c>
      <c r="F37" s="105" t="str">
        <f>IFERROR(INDEX(Horses!$C$6:$BB$42,Dashboard!$J$17,MATCH($A37&amp;"_"&amp;F$18,Horses!$C$1:$BB$1,0)),"")</f>
        <v/>
      </c>
      <c r="G37" s="106" t="str">
        <f>IFERROR(INDEX(Horses!$C$6:$BB$42,Dashboard!$J$17,MATCH($A37&amp;"_"&amp;G$18,Horses!$C$1:$BB$1,0)),"")</f>
        <v/>
      </c>
      <c r="H37" s="106" t="str">
        <f>IFERROR(INDEX(Horses!$C$6:$BB$42,Dashboard!$J$17,MATCH($A37&amp;"_"&amp;H$18,Horses!$C$1:$BB$1,0)),"")</f>
        <v/>
      </c>
      <c r="I37" s="28" t="str">
        <f t="shared" ca="1" si="6"/>
        <v/>
      </c>
      <c r="J37" s="19"/>
      <c r="L37" s="14"/>
      <c r="M37" s="15"/>
      <c r="N37" s="16"/>
      <c r="O37" s="16"/>
      <c r="P37" s="22" t="str">
        <f t="shared" ca="1" si="2"/>
        <v/>
      </c>
      <c r="R37" s="14"/>
      <c r="S37" s="15"/>
      <c r="T37" s="16"/>
      <c r="U37" s="16"/>
      <c r="V37" s="22" t="str">
        <f t="shared" ca="1" si="3"/>
        <v/>
      </c>
      <c r="X37" s="8"/>
    </row>
    <row r="38" spans="1:24" x14ac:dyDescent="0.35"/>
    <row r="39" spans="1:24" hidden="1" x14ac:dyDescent="0.35">
      <c r="G39" s="10"/>
      <c r="H39" s="10"/>
      <c r="N39" s="12"/>
      <c r="O39" s="12"/>
      <c r="T39" s="10"/>
      <c r="U39" s="10"/>
    </row>
    <row r="40" spans="1:24" hidden="1" x14ac:dyDescent="0.35">
      <c r="G40" s="10"/>
      <c r="H40" s="10"/>
      <c r="N40" s="12"/>
      <c r="O40" s="12"/>
      <c r="T40" s="10"/>
      <c r="U40" s="10"/>
    </row>
    <row r="41" spans="1:24" hidden="1" x14ac:dyDescent="0.35">
      <c r="G41" s="10"/>
      <c r="H41" s="10"/>
      <c r="N41" s="12"/>
      <c r="O41" s="12"/>
      <c r="T41" s="10"/>
      <c r="U41" s="10"/>
    </row>
    <row r="42" spans="1:24" hidden="1" x14ac:dyDescent="0.35">
      <c r="G42" s="10"/>
      <c r="H42" s="10"/>
      <c r="N42" s="12"/>
      <c r="O42" s="12"/>
      <c r="T42" s="10"/>
      <c r="U42" s="10"/>
    </row>
    <row r="43" spans="1:24" hidden="1" x14ac:dyDescent="0.35">
      <c r="G43" s="10"/>
      <c r="H43" s="10"/>
      <c r="N43" s="12"/>
      <c r="O43" s="12"/>
      <c r="T43" s="10"/>
      <c r="U43" s="10"/>
    </row>
    <row r="44" spans="1:24" hidden="1" x14ac:dyDescent="0.35">
      <c r="G44" s="10"/>
      <c r="H44" s="10"/>
      <c r="N44" s="12"/>
      <c r="O44" s="12"/>
      <c r="T44" s="10"/>
      <c r="U44" s="10"/>
    </row>
    <row r="45" spans="1:24" hidden="1" x14ac:dyDescent="0.35">
      <c r="G45" s="10"/>
      <c r="H45" s="10"/>
      <c r="N45" s="12"/>
      <c r="O45" s="12"/>
      <c r="T45" s="10"/>
      <c r="U45" s="10"/>
    </row>
    <row r="46" spans="1:24" hidden="1" x14ac:dyDescent="0.35">
      <c r="G46" s="10"/>
      <c r="H46" s="10"/>
      <c r="N46" s="12"/>
      <c r="O46" s="12"/>
      <c r="T46" s="10"/>
      <c r="U46" s="10"/>
    </row>
  </sheetData>
  <mergeCells count="6">
    <mergeCell ref="L17:P17"/>
    <mergeCell ref="R17:V17"/>
    <mergeCell ref="G5:I5"/>
    <mergeCell ref="E5:F5"/>
    <mergeCell ref="E17:F17"/>
    <mergeCell ref="G17:I17"/>
  </mergeCells>
  <conditionalFormatting sqref="P20:P37">
    <cfRule type="colorScale" priority="4">
      <colorScale>
        <cfvo type="num" val="30"/>
        <cfvo type="percentile" val="50"/>
        <cfvo type="num" val="180"/>
        <color rgb="FFF8696B"/>
        <color rgb="FFFFEB84"/>
        <color rgb="FF63BE7B"/>
      </colorScale>
    </cfRule>
  </conditionalFormatting>
  <conditionalFormatting sqref="I20:J37">
    <cfRule type="colorScale" priority="6">
      <colorScale>
        <cfvo type="num" val="30"/>
        <cfvo type="percentile" val="50"/>
        <cfvo type="num" val="180"/>
        <color rgb="FFF8696B"/>
        <color rgb="FFFFEB84"/>
        <color rgb="FF63BE7B"/>
      </colorScale>
    </cfRule>
  </conditionalFormatting>
  <conditionalFormatting sqref="I7:J15">
    <cfRule type="colorScale" priority="5">
      <colorScale>
        <cfvo type="num" val="30"/>
        <cfvo type="percentile" val="50"/>
        <cfvo type="num" val="180"/>
        <color rgb="FFF8696B"/>
        <color rgb="FFFFEB84"/>
        <color rgb="FF63BE7B"/>
      </colorScale>
    </cfRule>
  </conditionalFormatting>
  <conditionalFormatting sqref="V20:V37">
    <cfRule type="colorScale" priority="3">
      <colorScale>
        <cfvo type="num" val="30"/>
        <cfvo type="percentile" val="50"/>
        <cfvo type="num" val="180"/>
        <color rgb="FFF8696B"/>
        <color rgb="FFFFEB84"/>
        <color rgb="FF63BE7B"/>
      </colorScale>
    </cfRule>
  </conditionalFormatting>
  <conditionalFormatting sqref="E21:I37 E20:H20">
    <cfRule type="expression" dxfId="0" priority="2">
      <formula>$C20=2</formula>
    </cfRule>
  </conditionalFormatting>
  <dataValidations disablePrompts="1" count="3">
    <dataValidation type="date" operator="greaterThan" allowBlank="1" showInputMessage="1" showErrorMessage="1" sqref="T39:T46 N39:N46 G39:G46">
      <formula1>32874</formula1>
    </dataValidation>
    <dataValidation type="date" operator="greaterThan" allowBlank="1" showErrorMessage="1" errorTitle="Incorrect Expiry Date" error="Expiry date must be greater than the issue date" sqref="U20:U37 O20:O37">
      <formula1>N20</formula1>
    </dataValidation>
    <dataValidation type="date" operator="greaterThan" allowBlank="1" showInputMessage="1" showErrorMessage="1" errorTitle="Invalid Date" error="Please enter a valid date greater than 1 Jan 1990" sqref="T20:T37 N20:N37">
      <formula1>32874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5" name="Drop Down 7">
              <controlPr defaultSize="0" autoLine="0" autoPict="0">
                <anchor moveWithCells="1">
                  <from>
                    <xdr:col>6</xdr:col>
                    <xdr:colOff>25400</xdr:colOff>
                    <xdr:row>4</xdr:row>
                    <xdr:rowOff>69850</xdr:rowOff>
                  </from>
                  <to>
                    <xdr:col>8</xdr:col>
                    <xdr:colOff>736600</xdr:colOff>
                    <xdr:row>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Drop Down 9">
              <controlPr defaultSize="0" autoLine="0" autoPict="0">
                <anchor moveWithCells="1">
                  <from>
                    <xdr:col>6</xdr:col>
                    <xdr:colOff>38100</xdr:colOff>
                    <xdr:row>16</xdr:row>
                    <xdr:rowOff>69850</xdr:rowOff>
                  </from>
                  <to>
                    <xdr:col>8</xdr:col>
                    <xdr:colOff>749300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Drivers!$B$5:$B$41</xm:f>
          </x14:formula1>
          <xm:sqref>J5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E41"/>
  <sheetViews>
    <sheetView showGridLines="0" topLeftCell="A4" zoomScale="80" zoomScaleNormal="80" workbookViewId="0">
      <selection activeCell="B14" sqref="B14"/>
    </sheetView>
  </sheetViews>
  <sheetFormatPr defaultColWidth="0" defaultRowHeight="13.5" zeroHeight="1" x14ac:dyDescent="0.35"/>
  <cols>
    <col min="1" max="2" width="8.7265625" style="17" customWidth="1"/>
    <col min="3" max="3" width="16" style="17" customWidth="1"/>
    <col min="4" max="5" width="16.7265625" style="17" customWidth="1"/>
    <col min="6" max="7" width="12" style="18" customWidth="1"/>
    <col min="8" max="8" width="16.7265625" style="17" customWidth="1"/>
    <col min="9" max="10" width="12" style="18" customWidth="1"/>
    <col min="11" max="11" width="16.7265625" style="17" customWidth="1"/>
    <col min="12" max="13" width="12" style="18" customWidth="1"/>
    <col min="14" max="14" width="16.7265625" style="17" customWidth="1"/>
    <col min="15" max="16" width="12" style="18" customWidth="1"/>
    <col min="17" max="17" width="16.7265625" style="17" customWidth="1"/>
    <col min="18" max="19" width="12" style="18" customWidth="1"/>
    <col min="20" max="20" width="16.7265625" style="17" customWidth="1"/>
    <col min="21" max="22" width="12" style="18" customWidth="1"/>
    <col min="23" max="23" width="16.7265625" style="17" customWidth="1"/>
    <col min="24" max="25" width="12" style="18" customWidth="1"/>
    <col min="26" max="26" width="16.7265625" style="17" customWidth="1"/>
    <col min="27" max="28" width="12" style="18" customWidth="1"/>
    <col min="29" max="29" width="16.7265625" style="17" customWidth="1"/>
    <col min="30" max="31" width="12" style="18" customWidth="1"/>
    <col min="32" max="16384" width="8.7265625" style="17" hidden="1"/>
  </cols>
  <sheetData>
    <row r="1" spans="1:31" hidden="1" x14ac:dyDescent="0.35"/>
    <row r="2" spans="1:31" hidden="1" x14ac:dyDescent="0.35"/>
    <row r="3" spans="1:31" ht="14" hidden="1" thickBot="1" x14ac:dyDescent="0.4"/>
    <row r="4" spans="1:31" x14ac:dyDescent="0.35">
      <c r="C4" s="29" t="s">
        <v>26</v>
      </c>
      <c r="D4" s="30" t="s">
        <v>27</v>
      </c>
      <c r="E4" s="31" t="s">
        <v>21</v>
      </c>
      <c r="F4" s="32" t="s">
        <v>28</v>
      </c>
      <c r="G4" s="32" t="s">
        <v>29</v>
      </c>
      <c r="H4" s="31" t="s">
        <v>5</v>
      </c>
      <c r="I4" s="32" t="s">
        <v>28</v>
      </c>
      <c r="J4" s="32" t="s">
        <v>29</v>
      </c>
      <c r="K4" s="31" t="s">
        <v>7</v>
      </c>
      <c r="L4" s="32" t="s">
        <v>28</v>
      </c>
      <c r="M4" s="32" t="s">
        <v>29</v>
      </c>
      <c r="N4" s="31" t="s">
        <v>9</v>
      </c>
      <c r="O4" s="32" t="s">
        <v>28</v>
      </c>
      <c r="P4" s="32" t="s">
        <v>29</v>
      </c>
      <c r="Q4" s="31" t="s">
        <v>15</v>
      </c>
      <c r="R4" s="32" t="s">
        <v>28</v>
      </c>
      <c r="S4" s="32" t="s">
        <v>29</v>
      </c>
      <c r="T4" s="31" t="s">
        <v>16</v>
      </c>
      <c r="U4" s="32" t="s">
        <v>28</v>
      </c>
      <c r="V4" s="32" t="s">
        <v>29</v>
      </c>
      <c r="W4" s="31" t="s">
        <v>19</v>
      </c>
      <c r="X4" s="32" t="s">
        <v>28</v>
      </c>
      <c r="Y4" s="33" t="s">
        <v>29</v>
      </c>
      <c r="Z4" s="31"/>
      <c r="AA4" s="32" t="s">
        <v>28</v>
      </c>
      <c r="AB4" s="33" t="s">
        <v>29</v>
      </c>
      <c r="AC4" s="31"/>
      <c r="AD4" s="32" t="s">
        <v>28</v>
      </c>
      <c r="AE4" s="33" t="s">
        <v>29</v>
      </c>
    </row>
    <row r="5" spans="1:31" x14ac:dyDescent="0.35">
      <c r="A5" s="17">
        <v>1</v>
      </c>
      <c r="B5" s="17" t="str">
        <f>C5&amp;" "&amp;D5</f>
        <v>Mack Gwatiringa</v>
      </c>
      <c r="C5" s="34" t="s">
        <v>30</v>
      </c>
      <c r="D5" s="35" t="s">
        <v>31</v>
      </c>
      <c r="E5" s="36" t="s">
        <v>4</v>
      </c>
      <c r="F5" s="37">
        <v>40179</v>
      </c>
      <c r="G5" s="37">
        <v>43179</v>
      </c>
      <c r="H5" s="38" t="s">
        <v>6</v>
      </c>
      <c r="I5" s="39">
        <v>40605</v>
      </c>
      <c r="J5" s="39">
        <v>43179</v>
      </c>
      <c r="K5" s="36" t="s">
        <v>8</v>
      </c>
      <c r="L5" s="37">
        <v>41034</v>
      </c>
      <c r="M5" s="37">
        <v>43179</v>
      </c>
      <c r="N5" s="38" t="s">
        <v>10</v>
      </c>
      <c r="O5" s="39">
        <v>43076</v>
      </c>
      <c r="P5" s="39">
        <v>43179</v>
      </c>
      <c r="Q5" s="36" t="s">
        <v>18</v>
      </c>
      <c r="R5" s="37">
        <v>41034</v>
      </c>
      <c r="S5" s="37">
        <v>41035</v>
      </c>
      <c r="T5" s="38" t="s">
        <v>17</v>
      </c>
      <c r="U5" s="39">
        <v>41462</v>
      </c>
      <c r="V5" s="39">
        <v>43179</v>
      </c>
      <c r="W5" s="36" t="s">
        <v>20</v>
      </c>
      <c r="X5" s="37">
        <v>41462</v>
      </c>
      <c r="Y5" s="37">
        <v>43179</v>
      </c>
      <c r="Z5" s="38"/>
      <c r="AA5" s="39"/>
      <c r="AB5" s="39"/>
      <c r="AC5" s="36"/>
      <c r="AD5" s="37"/>
      <c r="AE5" s="40"/>
    </row>
    <row r="6" spans="1:31" x14ac:dyDescent="0.35">
      <c r="A6" s="17">
        <v>2</v>
      </c>
      <c r="B6" s="17" t="str">
        <f t="shared" ref="B6:B41" si="0">C6&amp;" "&amp;D6</f>
        <v>Mack Gwatiringa</v>
      </c>
      <c r="C6" s="41" t="s">
        <v>30</v>
      </c>
      <c r="D6" s="42" t="s">
        <v>31</v>
      </c>
      <c r="E6" s="43" t="s">
        <v>4</v>
      </c>
      <c r="F6" s="44">
        <v>40179</v>
      </c>
      <c r="G6" s="44">
        <v>43179</v>
      </c>
      <c r="H6" s="45" t="s">
        <v>6</v>
      </c>
      <c r="I6" s="46">
        <v>40605</v>
      </c>
      <c r="J6" s="46">
        <v>43179</v>
      </c>
      <c r="K6" s="43" t="s">
        <v>8</v>
      </c>
      <c r="L6" s="44">
        <v>41034</v>
      </c>
      <c r="M6" s="44">
        <v>43179</v>
      </c>
      <c r="N6" s="45" t="s">
        <v>10</v>
      </c>
      <c r="O6" s="46">
        <v>43076</v>
      </c>
      <c r="P6" s="46">
        <v>43179</v>
      </c>
      <c r="Q6" s="43" t="s">
        <v>18</v>
      </c>
      <c r="R6" s="44">
        <v>41034</v>
      </c>
      <c r="S6" s="44">
        <v>41035</v>
      </c>
      <c r="T6" s="45" t="s">
        <v>17</v>
      </c>
      <c r="U6" s="46">
        <v>41462</v>
      </c>
      <c r="V6" s="46">
        <v>43179</v>
      </c>
      <c r="W6" s="43" t="s">
        <v>20</v>
      </c>
      <c r="X6" s="44">
        <v>41462</v>
      </c>
      <c r="Y6" s="44">
        <v>43179</v>
      </c>
      <c r="Z6" s="45"/>
      <c r="AA6" s="46"/>
      <c r="AB6" s="46"/>
      <c r="AC6" s="43"/>
      <c r="AD6" s="44"/>
      <c r="AE6" s="47"/>
    </row>
    <row r="7" spans="1:31" x14ac:dyDescent="0.35">
      <c r="A7" s="17">
        <v>3</v>
      </c>
      <c r="B7" s="17" t="str">
        <f t="shared" si="0"/>
        <v>Mack Gwatiringa</v>
      </c>
      <c r="C7" s="41" t="s">
        <v>30</v>
      </c>
      <c r="D7" s="42" t="s">
        <v>31</v>
      </c>
      <c r="E7" s="43" t="s">
        <v>4</v>
      </c>
      <c r="F7" s="44">
        <v>40179</v>
      </c>
      <c r="G7" s="44">
        <v>43179</v>
      </c>
      <c r="H7" s="45" t="s">
        <v>6</v>
      </c>
      <c r="I7" s="46">
        <v>40605</v>
      </c>
      <c r="J7" s="46">
        <v>43179</v>
      </c>
      <c r="K7" s="43" t="s">
        <v>8</v>
      </c>
      <c r="L7" s="44">
        <v>41034</v>
      </c>
      <c r="M7" s="44">
        <v>43179</v>
      </c>
      <c r="N7" s="45" t="s">
        <v>10</v>
      </c>
      <c r="O7" s="46">
        <v>43076</v>
      </c>
      <c r="P7" s="46">
        <v>43179</v>
      </c>
      <c r="Q7" s="43" t="s">
        <v>18</v>
      </c>
      <c r="R7" s="44">
        <v>41034</v>
      </c>
      <c r="S7" s="44">
        <v>41035</v>
      </c>
      <c r="T7" s="45" t="s">
        <v>17</v>
      </c>
      <c r="U7" s="46">
        <v>41462</v>
      </c>
      <c r="V7" s="46">
        <v>43179</v>
      </c>
      <c r="W7" s="43" t="s">
        <v>20</v>
      </c>
      <c r="X7" s="44">
        <v>41462</v>
      </c>
      <c r="Y7" s="44">
        <v>43179</v>
      </c>
      <c r="Z7" s="45"/>
      <c r="AA7" s="46"/>
      <c r="AB7" s="46"/>
      <c r="AC7" s="43"/>
      <c r="AD7" s="44"/>
      <c r="AE7" s="47"/>
    </row>
    <row r="8" spans="1:31" x14ac:dyDescent="0.35">
      <c r="A8" s="17">
        <v>4</v>
      </c>
      <c r="B8" s="17" t="str">
        <f t="shared" si="0"/>
        <v>Mack Gwatiringa</v>
      </c>
      <c r="C8" s="41" t="s">
        <v>30</v>
      </c>
      <c r="D8" s="42" t="s">
        <v>31</v>
      </c>
      <c r="E8" s="43" t="s">
        <v>4</v>
      </c>
      <c r="F8" s="44">
        <v>40179</v>
      </c>
      <c r="G8" s="44">
        <v>43179</v>
      </c>
      <c r="H8" s="45" t="s">
        <v>6</v>
      </c>
      <c r="I8" s="46">
        <v>40605</v>
      </c>
      <c r="J8" s="46">
        <v>43179</v>
      </c>
      <c r="K8" s="43" t="s">
        <v>8</v>
      </c>
      <c r="L8" s="44">
        <v>41034</v>
      </c>
      <c r="M8" s="44">
        <v>43179</v>
      </c>
      <c r="N8" s="45" t="s">
        <v>10</v>
      </c>
      <c r="O8" s="46">
        <v>43076</v>
      </c>
      <c r="P8" s="46">
        <v>43179</v>
      </c>
      <c r="Q8" s="43" t="s">
        <v>18</v>
      </c>
      <c r="R8" s="44">
        <v>41034</v>
      </c>
      <c r="S8" s="44">
        <v>41035</v>
      </c>
      <c r="T8" s="45" t="s">
        <v>17</v>
      </c>
      <c r="U8" s="46">
        <v>41462</v>
      </c>
      <c r="V8" s="46">
        <v>43179</v>
      </c>
      <c r="W8" s="43" t="s">
        <v>20</v>
      </c>
      <c r="X8" s="44">
        <v>41462</v>
      </c>
      <c r="Y8" s="44">
        <v>43179</v>
      </c>
      <c r="Z8" s="45"/>
      <c r="AA8" s="46"/>
      <c r="AB8" s="46"/>
      <c r="AC8" s="43"/>
      <c r="AD8" s="44"/>
      <c r="AE8" s="47"/>
    </row>
    <row r="9" spans="1:31" x14ac:dyDescent="0.35">
      <c r="A9" s="17">
        <v>5</v>
      </c>
      <c r="B9" s="17" t="str">
        <f t="shared" si="0"/>
        <v>Mack Gwatiringa</v>
      </c>
      <c r="C9" s="41" t="s">
        <v>30</v>
      </c>
      <c r="D9" s="42" t="s">
        <v>31</v>
      </c>
      <c r="E9" s="43" t="s">
        <v>4</v>
      </c>
      <c r="F9" s="44">
        <v>40179</v>
      </c>
      <c r="G9" s="44">
        <v>43179</v>
      </c>
      <c r="H9" s="45" t="s">
        <v>6</v>
      </c>
      <c r="I9" s="46">
        <v>40605</v>
      </c>
      <c r="J9" s="46">
        <v>43179</v>
      </c>
      <c r="K9" s="43" t="s">
        <v>8</v>
      </c>
      <c r="L9" s="44">
        <v>41034</v>
      </c>
      <c r="M9" s="44">
        <v>43179</v>
      </c>
      <c r="N9" s="45" t="s">
        <v>10</v>
      </c>
      <c r="O9" s="46">
        <v>43076</v>
      </c>
      <c r="P9" s="46">
        <v>43179</v>
      </c>
      <c r="Q9" s="43" t="s">
        <v>18</v>
      </c>
      <c r="R9" s="44">
        <v>41034</v>
      </c>
      <c r="S9" s="44">
        <v>41035</v>
      </c>
      <c r="T9" s="45" t="s">
        <v>17</v>
      </c>
      <c r="U9" s="46">
        <v>41462</v>
      </c>
      <c r="V9" s="46">
        <v>43179</v>
      </c>
      <c r="W9" s="43" t="s">
        <v>20</v>
      </c>
      <c r="X9" s="44">
        <v>41462</v>
      </c>
      <c r="Y9" s="44">
        <v>43179</v>
      </c>
      <c r="Z9" s="45"/>
      <c r="AA9" s="46"/>
      <c r="AB9" s="46"/>
      <c r="AC9" s="43"/>
      <c r="AD9" s="44"/>
      <c r="AE9" s="47"/>
    </row>
    <row r="10" spans="1:31" x14ac:dyDescent="0.35">
      <c r="A10" s="17">
        <v>6</v>
      </c>
      <c r="B10" s="17" t="str">
        <f t="shared" si="0"/>
        <v>Mack Gwatiringa</v>
      </c>
      <c r="C10" s="41" t="s">
        <v>30</v>
      </c>
      <c r="D10" s="42" t="s">
        <v>31</v>
      </c>
      <c r="E10" s="43" t="s">
        <v>4</v>
      </c>
      <c r="F10" s="44">
        <v>40179</v>
      </c>
      <c r="G10" s="44">
        <v>43179</v>
      </c>
      <c r="H10" s="45" t="s">
        <v>6</v>
      </c>
      <c r="I10" s="46">
        <v>40605</v>
      </c>
      <c r="J10" s="46">
        <v>43179</v>
      </c>
      <c r="K10" s="43" t="s">
        <v>8</v>
      </c>
      <c r="L10" s="44">
        <v>41034</v>
      </c>
      <c r="M10" s="44">
        <v>43179</v>
      </c>
      <c r="N10" s="45" t="s">
        <v>10</v>
      </c>
      <c r="O10" s="46">
        <v>43076</v>
      </c>
      <c r="P10" s="46">
        <v>43179</v>
      </c>
      <c r="Q10" s="43" t="s">
        <v>18</v>
      </c>
      <c r="R10" s="44">
        <v>41034</v>
      </c>
      <c r="S10" s="44">
        <v>41035</v>
      </c>
      <c r="T10" s="45" t="s">
        <v>17</v>
      </c>
      <c r="U10" s="46">
        <v>41462</v>
      </c>
      <c r="V10" s="46">
        <v>43179</v>
      </c>
      <c r="W10" s="43" t="s">
        <v>20</v>
      </c>
      <c r="X10" s="44">
        <v>41462</v>
      </c>
      <c r="Y10" s="44">
        <v>43179</v>
      </c>
      <c r="Z10" s="45"/>
      <c r="AA10" s="46"/>
      <c r="AB10" s="46"/>
      <c r="AC10" s="43"/>
      <c r="AD10" s="44"/>
      <c r="AE10" s="47"/>
    </row>
    <row r="11" spans="1:31" x14ac:dyDescent="0.35">
      <c r="A11" s="17">
        <v>7</v>
      </c>
      <c r="B11" s="17" t="str">
        <f t="shared" si="0"/>
        <v>Mack Gwatiringa</v>
      </c>
      <c r="C11" s="41" t="s">
        <v>30</v>
      </c>
      <c r="D11" s="42" t="s">
        <v>31</v>
      </c>
      <c r="E11" s="43" t="s">
        <v>4</v>
      </c>
      <c r="F11" s="44">
        <v>40179</v>
      </c>
      <c r="G11" s="44">
        <v>43179</v>
      </c>
      <c r="H11" s="45" t="s">
        <v>6</v>
      </c>
      <c r="I11" s="46">
        <v>40605</v>
      </c>
      <c r="J11" s="46">
        <v>43179</v>
      </c>
      <c r="K11" s="43" t="s">
        <v>8</v>
      </c>
      <c r="L11" s="44">
        <v>41034</v>
      </c>
      <c r="M11" s="44">
        <v>43179</v>
      </c>
      <c r="N11" s="45" t="s">
        <v>10</v>
      </c>
      <c r="O11" s="46">
        <v>43076</v>
      </c>
      <c r="P11" s="46">
        <v>43179</v>
      </c>
      <c r="Q11" s="43" t="s">
        <v>18</v>
      </c>
      <c r="R11" s="44">
        <v>41034</v>
      </c>
      <c r="S11" s="44">
        <v>41035</v>
      </c>
      <c r="T11" s="45" t="s">
        <v>17</v>
      </c>
      <c r="U11" s="46">
        <v>41462</v>
      </c>
      <c r="V11" s="46">
        <v>43179</v>
      </c>
      <c r="W11" s="43" t="s">
        <v>20</v>
      </c>
      <c r="X11" s="44">
        <v>41462</v>
      </c>
      <c r="Y11" s="44">
        <v>43179</v>
      </c>
      <c r="Z11" s="45"/>
      <c r="AA11" s="46"/>
      <c r="AB11" s="46"/>
      <c r="AC11" s="43"/>
      <c r="AD11" s="44"/>
      <c r="AE11" s="47"/>
    </row>
    <row r="12" spans="1:31" x14ac:dyDescent="0.35">
      <c r="A12" s="17">
        <v>8</v>
      </c>
      <c r="B12" s="17" t="str">
        <f t="shared" si="0"/>
        <v>Mack Gwatiringa</v>
      </c>
      <c r="C12" s="41" t="s">
        <v>30</v>
      </c>
      <c r="D12" s="42" t="s">
        <v>31</v>
      </c>
      <c r="E12" s="43" t="s">
        <v>4</v>
      </c>
      <c r="F12" s="44">
        <v>40179</v>
      </c>
      <c r="G12" s="44">
        <v>43179</v>
      </c>
      <c r="H12" s="45" t="s">
        <v>6</v>
      </c>
      <c r="I12" s="46">
        <v>40605</v>
      </c>
      <c r="J12" s="46">
        <v>43179</v>
      </c>
      <c r="K12" s="43" t="s">
        <v>8</v>
      </c>
      <c r="L12" s="44">
        <v>41034</v>
      </c>
      <c r="M12" s="44">
        <v>43179</v>
      </c>
      <c r="N12" s="45" t="s">
        <v>10</v>
      </c>
      <c r="O12" s="46">
        <v>43076</v>
      </c>
      <c r="P12" s="46">
        <v>43179</v>
      </c>
      <c r="Q12" s="43" t="s">
        <v>18</v>
      </c>
      <c r="R12" s="44">
        <v>41034</v>
      </c>
      <c r="S12" s="44">
        <v>41035</v>
      </c>
      <c r="T12" s="45" t="s">
        <v>17</v>
      </c>
      <c r="U12" s="46">
        <v>41462</v>
      </c>
      <c r="V12" s="46">
        <v>43179</v>
      </c>
      <c r="W12" s="43" t="s">
        <v>20</v>
      </c>
      <c r="X12" s="44">
        <v>41462</v>
      </c>
      <c r="Y12" s="44">
        <v>43179</v>
      </c>
      <c r="Z12" s="45"/>
      <c r="AA12" s="46"/>
      <c r="AB12" s="46"/>
      <c r="AC12" s="43"/>
      <c r="AD12" s="44"/>
      <c r="AE12" s="47"/>
    </row>
    <row r="13" spans="1:31" x14ac:dyDescent="0.35">
      <c r="A13" s="17">
        <v>9</v>
      </c>
      <c r="B13" s="17" t="str">
        <f t="shared" si="0"/>
        <v>Mack Gwatiringa</v>
      </c>
      <c r="C13" s="41" t="s">
        <v>30</v>
      </c>
      <c r="D13" s="42" t="s">
        <v>31</v>
      </c>
      <c r="E13" s="43" t="s">
        <v>4</v>
      </c>
      <c r="F13" s="44">
        <v>40179</v>
      </c>
      <c r="G13" s="44">
        <v>43179</v>
      </c>
      <c r="H13" s="45" t="s">
        <v>6</v>
      </c>
      <c r="I13" s="46">
        <v>40605</v>
      </c>
      <c r="J13" s="46">
        <v>43179</v>
      </c>
      <c r="K13" s="43" t="s">
        <v>8</v>
      </c>
      <c r="L13" s="44">
        <v>41034</v>
      </c>
      <c r="M13" s="44">
        <v>43179</v>
      </c>
      <c r="N13" s="45" t="s">
        <v>10</v>
      </c>
      <c r="O13" s="46">
        <v>43076</v>
      </c>
      <c r="P13" s="46">
        <v>43179</v>
      </c>
      <c r="Q13" s="43" t="s">
        <v>18</v>
      </c>
      <c r="R13" s="44">
        <v>41034</v>
      </c>
      <c r="S13" s="44">
        <v>41035</v>
      </c>
      <c r="T13" s="45" t="s">
        <v>17</v>
      </c>
      <c r="U13" s="46">
        <v>41462</v>
      </c>
      <c r="V13" s="46">
        <v>43179</v>
      </c>
      <c r="W13" s="43" t="s">
        <v>20</v>
      </c>
      <c r="X13" s="44">
        <v>41462</v>
      </c>
      <c r="Y13" s="44">
        <v>43179</v>
      </c>
      <c r="Z13" s="45"/>
      <c r="AA13" s="46"/>
      <c r="AB13" s="46"/>
      <c r="AC13" s="43"/>
      <c r="AD13" s="44"/>
      <c r="AE13" s="47"/>
    </row>
    <row r="14" spans="1:31" x14ac:dyDescent="0.35">
      <c r="A14" s="17">
        <v>10</v>
      </c>
      <c r="B14" s="17" t="str">
        <f t="shared" si="0"/>
        <v>Mack Gwatiringa</v>
      </c>
      <c r="C14" s="41" t="s">
        <v>30</v>
      </c>
      <c r="D14" s="42" t="s">
        <v>31</v>
      </c>
      <c r="E14" s="43" t="s">
        <v>4</v>
      </c>
      <c r="F14" s="44">
        <v>40179</v>
      </c>
      <c r="G14" s="44">
        <v>43179</v>
      </c>
      <c r="H14" s="45" t="s">
        <v>6</v>
      </c>
      <c r="I14" s="46">
        <v>40605</v>
      </c>
      <c r="J14" s="46">
        <v>43179</v>
      </c>
      <c r="K14" s="43" t="s">
        <v>8</v>
      </c>
      <c r="L14" s="44">
        <v>41034</v>
      </c>
      <c r="M14" s="44">
        <v>43179</v>
      </c>
      <c r="N14" s="45" t="s">
        <v>10</v>
      </c>
      <c r="O14" s="46">
        <v>43076</v>
      </c>
      <c r="P14" s="46">
        <v>43179</v>
      </c>
      <c r="Q14" s="43" t="s">
        <v>18</v>
      </c>
      <c r="R14" s="44">
        <v>41034</v>
      </c>
      <c r="S14" s="44">
        <v>41035</v>
      </c>
      <c r="T14" s="45" t="s">
        <v>17</v>
      </c>
      <c r="U14" s="46">
        <v>41462</v>
      </c>
      <c r="V14" s="46">
        <v>43179</v>
      </c>
      <c r="W14" s="43" t="s">
        <v>20</v>
      </c>
      <c r="X14" s="44">
        <v>41462</v>
      </c>
      <c r="Y14" s="44">
        <v>43179</v>
      </c>
      <c r="Z14" s="45"/>
      <c r="AA14" s="46"/>
      <c r="AB14" s="46"/>
      <c r="AC14" s="43"/>
      <c r="AD14" s="44"/>
      <c r="AE14" s="47"/>
    </row>
    <row r="15" spans="1:31" x14ac:dyDescent="0.35">
      <c r="A15" s="17">
        <v>11</v>
      </c>
      <c r="B15" s="17" t="str">
        <f t="shared" si="0"/>
        <v xml:space="preserve"> </v>
      </c>
      <c r="C15" s="41"/>
      <c r="D15" s="42"/>
      <c r="E15" s="43"/>
      <c r="F15" s="44"/>
      <c r="G15" s="44"/>
      <c r="H15" s="45"/>
      <c r="I15" s="46"/>
      <c r="J15" s="46"/>
      <c r="K15" s="43"/>
      <c r="L15" s="44"/>
      <c r="M15" s="44"/>
      <c r="N15" s="45"/>
      <c r="O15" s="46"/>
      <c r="P15" s="46"/>
      <c r="Q15" s="43"/>
      <c r="R15" s="44"/>
      <c r="S15" s="44"/>
      <c r="T15" s="45"/>
      <c r="U15" s="46"/>
      <c r="V15" s="46"/>
      <c r="W15" s="43"/>
      <c r="X15" s="44"/>
      <c r="Y15" s="44"/>
      <c r="Z15" s="45"/>
      <c r="AA15" s="46"/>
      <c r="AB15" s="46"/>
      <c r="AC15" s="43"/>
      <c r="AD15" s="44"/>
      <c r="AE15" s="47"/>
    </row>
    <row r="16" spans="1:31" x14ac:dyDescent="0.35">
      <c r="A16" s="17">
        <v>12</v>
      </c>
      <c r="B16" s="17" t="str">
        <f t="shared" si="0"/>
        <v xml:space="preserve"> </v>
      </c>
      <c r="C16" s="41"/>
      <c r="D16" s="42"/>
      <c r="E16" s="43"/>
      <c r="F16" s="44"/>
      <c r="G16" s="44"/>
      <c r="H16" s="45"/>
      <c r="I16" s="46"/>
      <c r="J16" s="46"/>
      <c r="K16" s="43"/>
      <c r="L16" s="44"/>
      <c r="M16" s="44"/>
      <c r="N16" s="45"/>
      <c r="O16" s="46"/>
      <c r="P16" s="46"/>
      <c r="Q16" s="43"/>
      <c r="R16" s="44"/>
      <c r="S16" s="44"/>
      <c r="T16" s="45"/>
      <c r="U16" s="46"/>
      <c r="V16" s="46"/>
      <c r="W16" s="43"/>
      <c r="X16" s="44"/>
      <c r="Y16" s="44"/>
      <c r="Z16" s="45"/>
      <c r="AA16" s="46"/>
      <c r="AB16" s="46"/>
      <c r="AC16" s="43"/>
      <c r="AD16" s="44"/>
      <c r="AE16" s="47"/>
    </row>
    <row r="17" spans="1:31" x14ac:dyDescent="0.35">
      <c r="A17" s="17">
        <v>13</v>
      </c>
      <c r="B17" s="17" t="str">
        <f t="shared" si="0"/>
        <v xml:space="preserve"> </v>
      </c>
      <c r="C17" s="41"/>
      <c r="D17" s="42"/>
      <c r="E17" s="43"/>
      <c r="F17" s="44"/>
      <c r="G17" s="44"/>
      <c r="H17" s="45"/>
      <c r="I17" s="46"/>
      <c r="J17" s="46"/>
      <c r="K17" s="43"/>
      <c r="L17" s="44"/>
      <c r="M17" s="44"/>
      <c r="N17" s="45"/>
      <c r="O17" s="46"/>
      <c r="P17" s="46"/>
      <c r="Q17" s="43"/>
      <c r="R17" s="44"/>
      <c r="S17" s="44"/>
      <c r="T17" s="45"/>
      <c r="U17" s="46"/>
      <c r="V17" s="46"/>
      <c r="W17" s="43"/>
      <c r="X17" s="44"/>
      <c r="Y17" s="44"/>
      <c r="Z17" s="45"/>
      <c r="AA17" s="46"/>
      <c r="AB17" s="46"/>
      <c r="AC17" s="43"/>
      <c r="AD17" s="44"/>
      <c r="AE17" s="47"/>
    </row>
    <row r="18" spans="1:31" x14ac:dyDescent="0.35">
      <c r="A18" s="17">
        <v>14</v>
      </c>
      <c r="B18" s="17" t="str">
        <f t="shared" si="0"/>
        <v xml:space="preserve"> </v>
      </c>
      <c r="C18" s="41"/>
      <c r="D18" s="42"/>
      <c r="E18" s="43"/>
      <c r="F18" s="44"/>
      <c r="G18" s="44"/>
      <c r="H18" s="45"/>
      <c r="I18" s="46"/>
      <c r="J18" s="46"/>
      <c r="K18" s="43"/>
      <c r="L18" s="44"/>
      <c r="M18" s="44"/>
      <c r="N18" s="45"/>
      <c r="O18" s="46"/>
      <c r="P18" s="46"/>
      <c r="Q18" s="43"/>
      <c r="R18" s="44"/>
      <c r="S18" s="44"/>
      <c r="T18" s="45"/>
      <c r="U18" s="46"/>
      <c r="V18" s="46"/>
      <c r="W18" s="43"/>
      <c r="X18" s="44"/>
      <c r="Y18" s="44"/>
      <c r="Z18" s="45"/>
      <c r="AA18" s="46"/>
      <c r="AB18" s="46"/>
      <c r="AC18" s="43"/>
      <c r="AD18" s="44"/>
      <c r="AE18" s="47"/>
    </row>
    <row r="19" spans="1:31" x14ac:dyDescent="0.35">
      <c r="A19" s="17">
        <v>15</v>
      </c>
      <c r="B19" s="17" t="str">
        <f t="shared" si="0"/>
        <v xml:space="preserve"> </v>
      </c>
      <c r="C19" s="41"/>
      <c r="D19" s="42"/>
      <c r="E19" s="43"/>
      <c r="F19" s="44"/>
      <c r="G19" s="44"/>
      <c r="H19" s="45"/>
      <c r="I19" s="46"/>
      <c r="J19" s="46"/>
      <c r="K19" s="43"/>
      <c r="L19" s="44"/>
      <c r="M19" s="44"/>
      <c r="N19" s="45"/>
      <c r="O19" s="46"/>
      <c r="P19" s="46"/>
      <c r="Q19" s="43"/>
      <c r="R19" s="44"/>
      <c r="S19" s="44"/>
      <c r="T19" s="45"/>
      <c r="U19" s="46"/>
      <c r="V19" s="46"/>
      <c r="W19" s="43"/>
      <c r="X19" s="44"/>
      <c r="Y19" s="44"/>
      <c r="Z19" s="45"/>
      <c r="AA19" s="46"/>
      <c r="AB19" s="46"/>
      <c r="AC19" s="43"/>
      <c r="AD19" s="44"/>
      <c r="AE19" s="47"/>
    </row>
    <row r="20" spans="1:31" x14ac:dyDescent="0.35">
      <c r="A20" s="17">
        <v>16</v>
      </c>
      <c r="B20" s="17" t="str">
        <f t="shared" si="0"/>
        <v xml:space="preserve"> </v>
      </c>
      <c r="C20" s="41"/>
      <c r="D20" s="42"/>
      <c r="E20" s="43"/>
      <c r="F20" s="44"/>
      <c r="G20" s="44"/>
      <c r="H20" s="45"/>
      <c r="I20" s="46"/>
      <c r="J20" s="46"/>
      <c r="K20" s="43"/>
      <c r="L20" s="44"/>
      <c r="M20" s="44"/>
      <c r="N20" s="45"/>
      <c r="O20" s="46"/>
      <c r="P20" s="46"/>
      <c r="Q20" s="43"/>
      <c r="R20" s="44"/>
      <c r="S20" s="44"/>
      <c r="T20" s="45"/>
      <c r="U20" s="46"/>
      <c r="V20" s="46"/>
      <c r="W20" s="43"/>
      <c r="X20" s="44"/>
      <c r="Y20" s="44"/>
      <c r="Z20" s="45"/>
      <c r="AA20" s="46"/>
      <c r="AB20" s="46"/>
      <c r="AC20" s="43"/>
      <c r="AD20" s="44"/>
      <c r="AE20" s="47"/>
    </row>
    <row r="21" spans="1:31" x14ac:dyDescent="0.35">
      <c r="A21" s="17">
        <v>17</v>
      </c>
      <c r="B21" s="17" t="str">
        <f t="shared" si="0"/>
        <v xml:space="preserve"> </v>
      </c>
      <c r="C21" s="41"/>
      <c r="D21" s="42"/>
      <c r="E21" s="43"/>
      <c r="F21" s="44"/>
      <c r="G21" s="44"/>
      <c r="H21" s="45"/>
      <c r="I21" s="46"/>
      <c r="J21" s="46"/>
      <c r="K21" s="43"/>
      <c r="L21" s="44"/>
      <c r="M21" s="44"/>
      <c r="N21" s="45"/>
      <c r="O21" s="46"/>
      <c r="P21" s="46"/>
      <c r="Q21" s="43"/>
      <c r="R21" s="44"/>
      <c r="S21" s="44"/>
      <c r="T21" s="45"/>
      <c r="U21" s="46"/>
      <c r="V21" s="46"/>
      <c r="W21" s="43"/>
      <c r="X21" s="44"/>
      <c r="Y21" s="44"/>
      <c r="Z21" s="45"/>
      <c r="AA21" s="46"/>
      <c r="AB21" s="46"/>
      <c r="AC21" s="43"/>
      <c r="AD21" s="44"/>
      <c r="AE21" s="47"/>
    </row>
    <row r="22" spans="1:31" x14ac:dyDescent="0.35">
      <c r="A22" s="17">
        <v>18</v>
      </c>
      <c r="B22" s="17" t="str">
        <f t="shared" si="0"/>
        <v xml:space="preserve"> </v>
      </c>
      <c r="C22" s="41"/>
      <c r="D22" s="42"/>
      <c r="E22" s="43"/>
      <c r="F22" s="44"/>
      <c r="G22" s="44"/>
      <c r="H22" s="45"/>
      <c r="I22" s="46"/>
      <c r="J22" s="46"/>
      <c r="K22" s="43"/>
      <c r="L22" s="44"/>
      <c r="M22" s="44"/>
      <c r="N22" s="45"/>
      <c r="O22" s="46"/>
      <c r="P22" s="46"/>
      <c r="Q22" s="43"/>
      <c r="R22" s="44"/>
      <c r="S22" s="44"/>
      <c r="T22" s="45"/>
      <c r="U22" s="46"/>
      <c r="V22" s="46"/>
      <c r="W22" s="43"/>
      <c r="X22" s="44"/>
      <c r="Y22" s="44"/>
      <c r="Z22" s="45"/>
      <c r="AA22" s="46"/>
      <c r="AB22" s="46"/>
      <c r="AC22" s="43"/>
      <c r="AD22" s="44"/>
      <c r="AE22" s="47"/>
    </row>
    <row r="23" spans="1:31" x14ac:dyDescent="0.35">
      <c r="A23" s="17">
        <v>19</v>
      </c>
      <c r="B23" s="17" t="str">
        <f t="shared" si="0"/>
        <v xml:space="preserve"> </v>
      </c>
      <c r="C23" s="41"/>
      <c r="D23" s="42"/>
      <c r="E23" s="43"/>
      <c r="F23" s="44"/>
      <c r="G23" s="44"/>
      <c r="H23" s="45"/>
      <c r="I23" s="46"/>
      <c r="J23" s="46"/>
      <c r="K23" s="43"/>
      <c r="L23" s="44"/>
      <c r="M23" s="44"/>
      <c r="N23" s="45"/>
      <c r="O23" s="46"/>
      <c r="P23" s="46"/>
      <c r="Q23" s="43"/>
      <c r="R23" s="44"/>
      <c r="S23" s="44"/>
      <c r="T23" s="45"/>
      <c r="U23" s="46"/>
      <c r="V23" s="46"/>
      <c r="W23" s="43"/>
      <c r="X23" s="44"/>
      <c r="Y23" s="44"/>
      <c r="Z23" s="45"/>
      <c r="AA23" s="46"/>
      <c r="AB23" s="46"/>
      <c r="AC23" s="43"/>
      <c r="AD23" s="44"/>
      <c r="AE23" s="47"/>
    </row>
    <row r="24" spans="1:31" x14ac:dyDescent="0.35">
      <c r="A24" s="17">
        <v>20</v>
      </c>
      <c r="B24" s="17" t="str">
        <f t="shared" si="0"/>
        <v xml:space="preserve"> </v>
      </c>
      <c r="C24" s="41"/>
      <c r="D24" s="42"/>
      <c r="E24" s="43"/>
      <c r="F24" s="44"/>
      <c r="G24" s="44"/>
      <c r="H24" s="45"/>
      <c r="I24" s="46"/>
      <c r="J24" s="46"/>
      <c r="K24" s="43"/>
      <c r="L24" s="44"/>
      <c r="M24" s="44"/>
      <c r="N24" s="45"/>
      <c r="O24" s="46"/>
      <c r="P24" s="46"/>
      <c r="Q24" s="43"/>
      <c r="R24" s="44"/>
      <c r="S24" s="44"/>
      <c r="T24" s="45"/>
      <c r="U24" s="46"/>
      <c r="V24" s="46"/>
      <c r="W24" s="43"/>
      <c r="X24" s="44"/>
      <c r="Y24" s="44"/>
      <c r="Z24" s="45"/>
      <c r="AA24" s="46"/>
      <c r="AB24" s="46"/>
      <c r="AC24" s="43"/>
      <c r="AD24" s="44"/>
      <c r="AE24" s="47"/>
    </row>
    <row r="25" spans="1:31" x14ac:dyDescent="0.35">
      <c r="A25" s="17">
        <v>21</v>
      </c>
      <c r="B25" s="17" t="str">
        <f t="shared" si="0"/>
        <v xml:space="preserve"> </v>
      </c>
      <c r="C25" s="41"/>
      <c r="D25" s="42"/>
      <c r="E25" s="43"/>
      <c r="F25" s="44"/>
      <c r="G25" s="44"/>
      <c r="H25" s="45"/>
      <c r="I25" s="46"/>
      <c r="J25" s="46"/>
      <c r="K25" s="43"/>
      <c r="L25" s="44"/>
      <c r="M25" s="44"/>
      <c r="N25" s="45"/>
      <c r="O25" s="46"/>
      <c r="P25" s="46"/>
      <c r="Q25" s="43"/>
      <c r="R25" s="44"/>
      <c r="S25" s="44"/>
      <c r="T25" s="45"/>
      <c r="U25" s="46"/>
      <c r="V25" s="46"/>
      <c r="W25" s="43"/>
      <c r="X25" s="44"/>
      <c r="Y25" s="44"/>
      <c r="Z25" s="45"/>
      <c r="AA25" s="46"/>
      <c r="AB25" s="46"/>
      <c r="AC25" s="43"/>
      <c r="AD25" s="44"/>
      <c r="AE25" s="47"/>
    </row>
    <row r="26" spans="1:31" x14ac:dyDescent="0.35">
      <c r="A26" s="17">
        <v>22</v>
      </c>
      <c r="B26" s="17" t="str">
        <f t="shared" si="0"/>
        <v xml:space="preserve"> </v>
      </c>
      <c r="C26" s="41"/>
      <c r="D26" s="42"/>
      <c r="E26" s="43"/>
      <c r="F26" s="44"/>
      <c r="G26" s="44"/>
      <c r="H26" s="45"/>
      <c r="I26" s="46"/>
      <c r="J26" s="46"/>
      <c r="K26" s="43"/>
      <c r="L26" s="44"/>
      <c r="M26" s="44"/>
      <c r="N26" s="45"/>
      <c r="O26" s="46"/>
      <c r="P26" s="46"/>
      <c r="Q26" s="43"/>
      <c r="R26" s="44"/>
      <c r="S26" s="44"/>
      <c r="T26" s="45"/>
      <c r="U26" s="46"/>
      <c r="V26" s="46"/>
      <c r="W26" s="43"/>
      <c r="X26" s="44"/>
      <c r="Y26" s="44"/>
      <c r="Z26" s="45"/>
      <c r="AA26" s="46"/>
      <c r="AB26" s="46"/>
      <c r="AC26" s="43"/>
      <c r="AD26" s="44"/>
      <c r="AE26" s="47"/>
    </row>
    <row r="27" spans="1:31" x14ac:dyDescent="0.35">
      <c r="A27" s="17">
        <v>23</v>
      </c>
      <c r="B27" s="17" t="str">
        <f t="shared" si="0"/>
        <v xml:space="preserve"> </v>
      </c>
      <c r="C27" s="41"/>
      <c r="D27" s="42"/>
      <c r="E27" s="43"/>
      <c r="F27" s="44"/>
      <c r="G27" s="44"/>
      <c r="H27" s="45"/>
      <c r="I27" s="46"/>
      <c r="J27" s="46"/>
      <c r="K27" s="43"/>
      <c r="L27" s="44"/>
      <c r="M27" s="44"/>
      <c r="N27" s="45"/>
      <c r="O27" s="46"/>
      <c r="P27" s="46"/>
      <c r="Q27" s="43"/>
      <c r="R27" s="44"/>
      <c r="S27" s="44"/>
      <c r="T27" s="45"/>
      <c r="U27" s="46"/>
      <c r="V27" s="46"/>
      <c r="W27" s="43"/>
      <c r="X27" s="44"/>
      <c r="Y27" s="44"/>
      <c r="Z27" s="45"/>
      <c r="AA27" s="46"/>
      <c r="AB27" s="46"/>
      <c r="AC27" s="43"/>
      <c r="AD27" s="44"/>
      <c r="AE27" s="47"/>
    </row>
    <row r="28" spans="1:31" x14ac:dyDescent="0.35">
      <c r="A28" s="17">
        <v>24</v>
      </c>
      <c r="B28" s="17" t="str">
        <f t="shared" si="0"/>
        <v xml:space="preserve"> </v>
      </c>
      <c r="C28" s="41"/>
      <c r="D28" s="42"/>
      <c r="E28" s="43"/>
      <c r="F28" s="44"/>
      <c r="G28" s="44"/>
      <c r="H28" s="45"/>
      <c r="I28" s="46"/>
      <c r="J28" s="46"/>
      <c r="K28" s="43"/>
      <c r="L28" s="44"/>
      <c r="M28" s="44"/>
      <c r="N28" s="45"/>
      <c r="O28" s="46"/>
      <c r="P28" s="46"/>
      <c r="Q28" s="43"/>
      <c r="R28" s="44"/>
      <c r="S28" s="44"/>
      <c r="T28" s="45"/>
      <c r="U28" s="46"/>
      <c r="V28" s="46"/>
      <c r="W28" s="43"/>
      <c r="X28" s="44"/>
      <c r="Y28" s="44"/>
      <c r="Z28" s="45"/>
      <c r="AA28" s="46"/>
      <c r="AB28" s="46"/>
      <c r="AC28" s="43"/>
      <c r="AD28" s="44"/>
      <c r="AE28" s="47"/>
    </row>
    <row r="29" spans="1:31" x14ac:dyDescent="0.35">
      <c r="A29" s="17">
        <v>25</v>
      </c>
      <c r="B29" s="17" t="str">
        <f t="shared" si="0"/>
        <v xml:space="preserve"> </v>
      </c>
      <c r="C29" s="41"/>
      <c r="D29" s="42"/>
      <c r="E29" s="43"/>
      <c r="F29" s="44"/>
      <c r="G29" s="44"/>
      <c r="H29" s="45"/>
      <c r="I29" s="46"/>
      <c r="J29" s="46"/>
      <c r="K29" s="43"/>
      <c r="L29" s="44"/>
      <c r="M29" s="44"/>
      <c r="N29" s="45"/>
      <c r="O29" s="46"/>
      <c r="P29" s="46"/>
      <c r="Q29" s="43"/>
      <c r="R29" s="44"/>
      <c r="S29" s="44"/>
      <c r="T29" s="45"/>
      <c r="U29" s="46"/>
      <c r="V29" s="46"/>
      <c r="W29" s="43"/>
      <c r="X29" s="44"/>
      <c r="Y29" s="44"/>
      <c r="Z29" s="45"/>
      <c r="AA29" s="46"/>
      <c r="AB29" s="46"/>
      <c r="AC29" s="43"/>
      <c r="AD29" s="44"/>
      <c r="AE29" s="47"/>
    </row>
    <row r="30" spans="1:31" x14ac:dyDescent="0.35">
      <c r="A30" s="17">
        <v>26</v>
      </c>
      <c r="B30" s="17" t="str">
        <f t="shared" si="0"/>
        <v xml:space="preserve"> </v>
      </c>
      <c r="C30" s="41"/>
      <c r="D30" s="42"/>
      <c r="E30" s="43"/>
      <c r="F30" s="44"/>
      <c r="G30" s="44"/>
      <c r="H30" s="45"/>
      <c r="I30" s="46"/>
      <c r="J30" s="46"/>
      <c r="K30" s="43"/>
      <c r="L30" s="44"/>
      <c r="M30" s="44"/>
      <c r="N30" s="45"/>
      <c r="O30" s="46"/>
      <c r="P30" s="46"/>
      <c r="Q30" s="43"/>
      <c r="R30" s="44"/>
      <c r="S30" s="44"/>
      <c r="T30" s="45"/>
      <c r="U30" s="46"/>
      <c r="V30" s="46"/>
      <c r="W30" s="43"/>
      <c r="X30" s="44"/>
      <c r="Y30" s="44"/>
      <c r="Z30" s="45"/>
      <c r="AA30" s="46"/>
      <c r="AB30" s="46"/>
      <c r="AC30" s="43"/>
      <c r="AD30" s="44"/>
      <c r="AE30" s="47"/>
    </row>
    <row r="31" spans="1:31" x14ac:dyDescent="0.35">
      <c r="A31" s="17">
        <v>27</v>
      </c>
      <c r="B31" s="17" t="str">
        <f t="shared" si="0"/>
        <v xml:space="preserve"> </v>
      </c>
      <c r="C31" s="41"/>
      <c r="D31" s="42"/>
      <c r="E31" s="43"/>
      <c r="F31" s="44"/>
      <c r="G31" s="44"/>
      <c r="H31" s="45"/>
      <c r="I31" s="46"/>
      <c r="J31" s="46"/>
      <c r="K31" s="43"/>
      <c r="L31" s="44"/>
      <c r="M31" s="44"/>
      <c r="N31" s="45"/>
      <c r="O31" s="46"/>
      <c r="P31" s="46"/>
      <c r="Q31" s="43"/>
      <c r="R31" s="44"/>
      <c r="S31" s="44"/>
      <c r="T31" s="45"/>
      <c r="U31" s="46"/>
      <c r="V31" s="46"/>
      <c r="W31" s="43"/>
      <c r="X31" s="44"/>
      <c r="Y31" s="44"/>
      <c r="Z31" s="45"/>
      <c r="AA31" s="46"/>
      <c r="AB31" s="46"/>
      <c r="AC31" s="43"/>
      <c r="AD31" s="44"/>
      <c r="AE31" s="47"/>
    </row>
    <row r="32" spans="1:31" x14ac:dyDescent="0.35">
      <c r="A32" s="17">
        <v>28</v>
      </c>
      <c r="B32" s="17" t="str">
        <f t="shared" si="0"/>
        <v xml:space="preserve"> </v>
      </c>
      <c r="C32" s="41"/>
      <c r="D32" s="42"/>
      <c r="E32" s="43"/>
      <c r="F32" s="44"/>
      <c r="G32" s="44"/>
      <c r="H32" s="45"/>
      <c r="I32" s="46"/>
      <c r="J32" s="46"/>
      <c r="K32" s="43"/>
      <c r="L32" s="44"/>
      <c r="M32" s="44"/>
      <c r="N32" s="45"/>
      <c r="O32" s="46"/>
      <c r="P32" s="46"/>
      <c r="Q32" s="43"/>
      <c r="R32" s="44"/>
      <c r="S32" s="44"/>
      <c r="T32" s="45"/>
      <c r="U32" s="46"/>
      <c r="V32" s="46"/>
      <c r="W32" s="43"/>
      <c r="X32" s="44"/>
      <c r="Y32" s="44"/>
      <c r="Z32" s="45"/>
      <c r="AA32" s="46"/>
      <c r="AB32" s="46"/>
      <c r="AC32" s="43"/>
      <c r="AD32" s="44"/>
      <c r="AE32" s="47"/>
    </row>
    <row r="33" spans="1:31" x14ac:dyDescent="0.35">
      <c r="A33" s="17">
        <v>29</v>
      </c>
      <c r="B33" s="17" t="str">
        <f t="shared" si="0"/>
        <v xml:space="preserve"> </v>
      </c>
      <c r="C33" s="41"/>
      <c r="D33" s="42"/>
      <c r="E33" s="43"/>
      <c r="F33" s="44"/>
      <c r="G33" s="44"/>
      <c r="H33" s="45"/>
      <c r="I33" s="46"/>
      <c r="J33" s="46"/>
      <c r="K33" s="43"/>
      <c r="L33" s="44"/>
      <c r="M33" s="44"/>
      <c r="N33" s="45"/>
      <c r="O33" s="46"/>
      <c r="P33" s="46"/>
      <c r="Q33" s="43"/>
      <c r="R33" s="44"/>
      <c r="S33" s="44"/>
      <c r="T33" s="45"/>
      <c r="U33" s="46"/>
      <c r="V33" s="46"/>
      <c r="W33" s="43"/>
      <c r="X33" s="44"/>
      <c r="Y33" s="44"/>
      <c r="Z33" s="45"/>
      <c r="AA33" s="46"/>
      <c r="AB33" s="46"/>
      <c r="AC33" s="43"/>
      <c r="AD33" s="44"/>
      <c r="AE33" s="47"/>
    </row>
    <row r="34" spans="1:31" x14ac:dyDescent="0.35">
      <c r="A34" s="17">
        <v>30</v>
      </c>
      <c r="B34" s="17" t="str">
        <f t="shared" si="0"/>
        <v xml:space="preserve"> </v>
      </c>
      <c r="C34" s="41"/>
      <c r="D34" s="42"/>
      <c r="E34" s="43"/>
      <c r="F34" s="44"/>
      <c r="G34" s="44"/>
      <c r="H34" s="45"/>
      <c r="I34" s="46"/>
      <c r="J34" s="46"/>
      <c r="K34" s="43"/>
      <c r="L34" s="44"/>
      <c r="M34" s="44"/>
      <c r="N34" s="45"/>
      <c r="O34" s="46"/>
      <c r="P34" s="46"/>
      <c r="Q34" s="43"/>
      <c r="R34" s="44"/>
      <c r="S34" s="44"/>
      <c r="T34" s="45"/>
      <c r="U34" s="46"/>
      <c r="V34" s="46"/>
      <c r="W34" s="43"/>
      <c r="X34" s="44"/>
      <c r="Y34" s="44"/>
      <c r="Z34" s="45"/>
      <c r="AA34" s="46"/>
      <c r="AB34" s="46"/>
      <c r="AC34" s="43"/>
      <c r="AD34" s="44"/>
      <c r="AE34" s="47"/>
    </row>
    <row r="35" spans="1:31" x14ac:dyDescent="0.35">
      <c r="A35" s="17">
        <v>31</v>
      </c>
      <c r="B35" s="17" t="str">
        <f t="shared" si="0"/>
        <v xml:space="preserve"> </v>
      </c>
      <c r="C35" s="41"/>
      <c r="D35" s="42"/>
      <c r="E35" s="43"/>
      <c r="F35" s="44"/>
      <c r="G35" s="44"/>
      <c r="H35" s="45"/>
      <c r="I35" s="46"/>
      <c r="J35" s="46"/>
      <c r="K35" s="43"/>
      <c r="L35" s="44"/>
      <c r="M35" s="44"/>
      <c r="N35" s="45"/>
      <c r="O35" s="46"/>
      <c r="P35" s="46"/>
      <c r="Q35" s="43"/>
      <c r="R35" s="44"/>
      <c r="S35" s="44"/>
      <c r="T35" s="45"/>
      <c r="U35" s="46"/>
      <c r="V35" s="46"/>
      <c r="W35" s="43"/>
      <c r="X35" s="44"/>
      <c r="Y35" s="44"/>
      <c r="Z35" s="45"/>
      <c r="AA35" s="46"/>
      <c r="AB35" s="46"/>
      <c r="AC35" s="43"/>
      <c r="AD35" s="44"/>
      <c r="AE35" s="47"/>
    </row>
    <row r="36" spans="1:31" x14ac:dyDescent="0.35">
      <c r="A36" s="17">
        <v>32</v>
      </c>
      <c r="B36" s="17" t="str">
        <f t="shared" si="0"/>
        <v xml:space="preserve"> </v>
      </c>
      <c r="C36" s="41"/>
      <c r="D36" s="42"/>
      <c r="E36" s="43"/>
      <c r="F36" s="44"/>
      <c r="G36" s="44"/>
      <c r="H36" s="45"/>
      <c r="I36" s="46"/>
      <c r="J36" s="46"/>
      <c r="K36" s="43"/>
      <c r="L36" s="44"/>
      <c r="M36" s="44"/>
      <c r="N36" s="45"/>
      <c r="O36" s="46"/>
      <c r="P36" s="46"/>
      <c r="Q36" s="43"/>
      <c r="R36" s="44"/>
      <c r="S36" s="44"/>
      <c r="T36" s="45"/>
      <c r="U36" s="46"/>
      <c r="V36" s="46"/>
      <c r="W36" s="43"/>
      <c r="X36" s="44"/>
      <c r="Y36" s="44"/>
      <c r="Z36" s="45"/>
      <c r="AA36" s="46"/>
      <c r="AB36" s="46"/>
      <c r="AC36" s="43"/>
      <c r="AD36" s="44"/>
      <c r="AE36" s="47"/>
    </row>
    <row r="37" spans="1:31" x14ac:dyDescent="0.35">
      <c r="A37" s="17">
        <v>33</v>
      </c>
      <c r="B37" s="17" t="str">
        <f t="shared" si="0"/>
        <v xml:space="preserve"> </v>
      </c>
      <c r="C37" s="41"/>
      <c r="D37" s="42"/>
      <c r="E37" s="43"/>
      <c r="F37" s="44"/>
      <c r="G37" s="44"/>
      <c r="H37" s="45"/>
      <c r="I37" s="46"/>
      <c r="J37" s="46"/>
      <c r="K37" s="43"/>
      <c r="L37" s="44"/>
      <c r="M37" s="44"/>
      <c r="N37" s="45"/>
      <c r="O37" s="46"/>
      <c r="P37" s="46"/>
      <c r="Q37" s="43"/>
      <c r="R37" s="44"/>
      <c r="S37" s="44"/>
      <c r="T37" s="45"/>
      <c r="U37" s="46"/>
      <c r="V37" s="46"/>
      <c r="W37" s="43"/>
      <c r="X37" s="44"/>
      <c r="Y37" s="44"/>
      <c r="Z37" s="45"/>
      <c r="AA37" s="46"/>
      <c r="AB37" s="46"/>
      <c r="AC37" s="43"/>
      <c r="AD37" s="44"/>
      <c r="AE37" s="47"/>
    </row>
    <row r="38" spans="1:31" x14ac:dyDescent="0.35">
      <c r="A38" s="17">
        <v>34</v>
      </c>
      <c r="B38" s="17" t="str">
        <f t="shared" si="0"/>
        <v xml:space="preserve"> </v>
      </c>
      <c r="C38" s="41"/>
      <c r="D38" s="42"/>
      <c r="E38" s="43"/>
      <c r="F38" s="44"/>
      <c r="G38" s="44"/>
      <c r="H38" s="45"/>
      <c r="I38" s="46"/>
      <c r="J38" s="46"/>
      <c r="K38" s="43"/>
      <c r="L38" s="44"/>
      <c r="M38" s="44"/>
      <c r="N38" s="45"/>
      <c r="O38" s="46"/>
      <c r="P38" s="46"/>
      <c r="Q38" s="43"/>
      <c r="R38" s="44"/>
      <c r="S38" s="44"/>
      <c r="T38" s="45"/>
      <c r="U38" s="46"/>
      <c r="V38" s="46"/>
      <c r="W38" s="43"/>
      <c r="X38" s="44"/>
      <c r="Y38" s="44"/>
      <c r="Z38" s="45"/>
      <c r="AA38" s="46"/>
      <c r="AB38" s="46"/>
      <c r="AC38" s="43"/>
      <c r="AD38" s="44"/>
      <c r="AE38" s="47"/>
    </row>
    <row r="39" spans="1:31" x14ac:dyDescent="0.35">
      <c r="A39" s="17">
        <v>35</v>
      </c>
      <c r="B39" s="17" t="str">
        <f t="shared" si="0"/>
        <v xml:space="preserve"> </v>
      </c>
      <c r="C39" s="41"/>
      <c r="D39" s="42"/>
      <c r="E39" s="43"/>
      <c r="F39" s="44"/>
      <c r="G39" s="44"/>
      <c r="H39" s="45"/>
      <c r="I39" s="46"/>
      <c r="J39" s="46"/>
      <c r="K39" s="43"/>
      <c r="L39" s="44"/>
      <c r="M39" s="44"/>
      <c r="N39" s="45"/>
      <c r="O39" s="46"/>
      <c r="P39" s="46"/>
      <c r="Q39" s="43"/>
      <c r="R39" s="44"/>
      <c r="S39" s="44"/>
      <c r="T39" s="45"/>
      <c r="U39" s="46"/>
      <c r="V39" s="46"/>
      <c r="W39" s="43"/>
      <c r="X39" s="44"/>
      <c r="Y39" s="44"/>
      <c r="Z39" s="45"/>
      <c r="AA39" s="46"/>
      <c r="AB39" s="46"/>
      <c r="AC39" s="43"/>
      <c r="AD39" s="44"/>
      <c r="AE39" s="47"/>
    </row>
    <row r="40" spans="1:31" x14ac:dyDescent="0.35">
      <c r="A40" s="17">
        <v>36</v>
      </c>
      <c r="B40" s="17" t="str">
        <f t="shared" si="0"/>
        <v xml:space="preserve"> </v>
      </c>
      <c r="C40" s="41"/>
      <c r="D40" s="42"/>
      <c r="E40" s="43"/>
      <c r="F40" s="44"/>
      <c r="G40" s="44"/>
      <c r="H40" s="45"/>
      <c r="I40" s="46"/>
      <c r="J40" s="46"/>
      <c r="K40" s="43"/>
      <c r="L40" s="44"/>
      <c r="M40" s="44"/>
      <c r="N40" s="45"/>
      <c r="O40" s="46"/>
      <c r="P40" s="46"/>
      <c r="Q40" s="43"/>
      <c r="R40" s="44"/>
      <c r="S40" s="44"/>
      <c r="T40" s="45"/>
      <c r="U40" s="46"/>
      <c r="V40" s="46"/>
      <c r="W40" s="43"/>
      <c r="X40" s="44"/>
      <c r="Y40" s="44"/>
      <c r="Z40" s="45"/>
      <c r="AA40" s="46"/>
      <c r="AB40" s="46"/>
      <c r="AC40" s="43"/>
      <c r="AD40" s="44"/>
      <c r="AE40" s="47"/>
    </row>
    <row r="41" spans="1:31" ht="14" thickBot="1" x14ac:dyDescent="0.4">
      <c r="A41" s="17">
        <v>37</v>
      </c>
      <c r="B41" s="17" t="str">
        <f t="shared" si="0"/>
        <v xml:space="preserve"> </v>
      </c>
      <c r="C41" s="48"/>
      <c r="D41" s="49"/>
      <c r="E41" s="50"/>
      <c r="F41" s="51"/>
      <c r="G41" s="51"/>
      <c r="H41" s="52"/>
      <c r="I41" s="53"/>
      <c r="J41" s="53"/>
      <c r="K41" s="50"/>
      <c r="L41" s="51"/>
      <c r="M41" s="51"/>
      <c r="N41" s="52"/>
      <c r="O41" s="53"/>
      <c r="P41" s="53"/>
      <c r="Q41" s="50"/>
      <c r="R41" s="51"/>
      <c r="S41" s="51"/>
      <c r="T41" s="52"/>
      <c r="U41" s="53"/>
      <c r="V41" s="53"/>
      <c r="W41" s="50"/>
      <c r="X41" s="51"/>
      <c r="Y41" s="51"/>
      <c r="Z41" s="52"/>
      <c r="AA41" s="53"/>
      <c r="AB41" s="53"/>
      <c r="AC41" s="50"/>
      <c r="AD41" s="51"/>
      <c r="AE41" s="54"/>
    </row>
  </sheetData>
  <pageMargins left="0.7" right="0.7" top="0.75" bottom="0.75" header="0.3" footer="0.3"/>
  <customProperties>
    <customPr name="LastActive" r:id="rId1"/>
  </customPropertie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BB42"/>
  <sheetViews>
    <sheetView topLeftCell="A5" workbookViewId="0">
      <selection activeCell="B6" sqref="B6"/>
    </sheetView>
  </sheetViews>
  <sheetFormatPr defaultColWidth="0" defaultRowHeight="10.5" zeroHeight="1" x14ac:dyDescent="0.25"/>
  <cols>
    <col min="1" max="1" width="8.81640625" style="62" customWidth="1"/>
    <col min="2" max="2" width="8.7265625" style="62" customWidth="1"/>
    <col min="3" max="5" width="8.81640625" style="62" bestFit="1" customWidth="1"/>
    <col min="6" max="6" width="12.36328125" style="62" customWidth="1"/>
    <col min="7" max="7" width="9.26953125" style="62" bestFit="1" customWidth="1"/>
    <col min="8" max="8" width="8.81640625" style="62" customWidth="1"/>
    <col min="9" max="9" width="10.90625" style="62" customWidth="1"/>
    <col min="10" max="54" width="8.81640625" style="62" bestFit="1" customWidth="1"/>
    <col min="55" max="16384" width="8.7265625" style="62" hidden="1"/>
  </cols>
  <sheetData>
    <row r="1" spans="1:54" hidden="1" x14ac:dyDescent="0.25">
      <c r="C1" s="62" t="str">
        <f>C3&amp;"_"&amp;C2</f>
        <v>0_1</v>
      </c>
      <c r="D1" s="62" t="str">
        <f t="shared" ref="D1:K1" si="0">D3&amp;"_"&amp;D2</f>
        <v>0_2</v>
      </c>
      <c r="E1" s="62" t="str">
        <f t="shared" si="0"/>
        <v>1_1</v>
      </c>
      <c r="F1" s="62" t="str">
        <f t="shared" si="0"/>
        <v>1_2</v>
      </c>
      <c r="G1" s="62" t="str">
        <f t="shared" si="0"/>
        <v>1_3</v>
      </c>
      <c r="H1" s="62" t="str">
        <f t="shared" si="0"/>
        <v>2_1</v>
      </c>
      <c r="I1" s="62" t="str">
        <f t="shared" si="0"/>
        <v>2_2</v>
      </c>
      <c r="J1" s="62" t="str">
        <f t="shared" si="0"/>
        <v>2_3</v>
      </c>
      <c r="K1" s="62" t="str">
        <f t="shared" si="0"/>
        <v>2_4</v>
      </c>
      <c r="L1" s="62" t="str">
        <f t="shared" ref="L1" si="1">L3&amp;"_"&amp;L2</f>
        <v>3_1</v>
      </c>
      <c r="M1" s="62" t="str">
        <f t="shared" ref="M1" si="2">M3&amp;"_"&amp;M2</f>
        <v>4_1</v>
      </c>
      <c r="N1" s="62" t="str">
        <f t="shared" ref="N1" si="3">N3&amp;"_"&amp;N2</f>
        <v>5_1</v>
      </c>
      <c r="O1" s="62" t="str">
        <f t="shared" ref="O1" si="4">O3&amp;"_"&amp;O2</f>
        <v>5_2</v>
      </c>
      <c r="P1" s="62" t="str">
        <f t="shared" ref="P1" si="5">P3&amp;"_"&amp;P2</f>
        <v>5_3</v>
      </c>
      <c r="Q1" s="62" t="str">
        <f t="shared" ref="Q1" si="6">Q3&amp;"_"&amp;Q2</f>
        <v>6_1</v>
      </c>
      <c r="R1" s="62" t="str">
        <f t="shared" ref="R1" si="7">R3&amp;"_"&amp;R2</f>
        <v>6_2</v>
      </c>
      <c r="S1" s="62" t="str">
        <f t="shared" ref="S1" si="8">S3&amp;"_"&amp;S2</f>
        <v>6_3</v>
      </c>
      <c r="T1" s="62" t="str">
        <f t="shared" ref="T1" si="9">T3&amp;"_"&amp;T2</f>
        <v>7_1</v>
      </c>
      <c r="U1" s="62" t="str">
        <f t="shared" ref="U1" si="10">U3&amp;"_"&amp;U2</f>
        <v>7_2</v>
      </c>
      <c r="V1" s="62" t="str">
        <f t="shared" ref="V1" si="11">V3&amp;"_"&amp;V2</f>
        <v>7_3</v>
      </c>
      <c r="W1" s="62" t="str">
        <f t="shared" ref="W1" si="12">W3&amp;"_"&amp;W2</f>
        <v>8_1</v>
      </c>
      <c r="X1" s="62" t="str">
        <f t="shared" ref="X1" si="13">X3&amp;"_"&amp;X2</f>
        <v>8_2</v>
      </c>
      <c r="Y1" s="62" t="str">
        <f t="shared" ref="Y1" si="14">Y3&amp;"_"&amp;Y2</f>
        <v>8_3</v>
      </c>
      <c r="Z1" s="62" t="str">
        <f t="shared" ref="Z1" si="15">Z3&amp;"_"&amp;Z2</f>
        <v>9_1</v>
      </c>
      <c r="AA1" s="62" t="str">
        <f t="shared" ref="AA1" si="16">AA3&amp;"_"&amp;AA2</f>
        <v>10_1</v>
      </c>
      <c r="AB1" s="62" t="str">
        <f t="shared" ref="AB1" si="17">AB3&amp;"_"&amp;AB2</f>
        <v>11_1</v>
      </c>
      <c r="AC1" s="62" t="str">
        <f t="shared" ref="AC1" si="18">AC3&amp;"_"&amp;AC2</f>
        <v>11_2</v>
      </c>
      <c r="AD1" s="62" t="str">
        <f t="shared" ref="AD1" si="19">AD3&amp;"_"&amp;AD2</f>
        <v>11_3</v>
      </c>
      <c r="AE1" s="62" t="str">
        <f t="shared" ref="AE1" si="20">AE3&amp;"_"&amp;AE2</f>
        <v>12_1</v>
      </c>
      <c r="AF1" s="62" t="str">
        <f t="shared" ref="AF1" si="21">AF3&amp;"_"&amp;AF2</f>
        <v>12_2</v>
      </c>
      <c r="AG1" s="62" t="str">
        <f t="shared" ref="AG1" si="22">AG3&amp;"_"&amp;AG2</f>
        <v>12_3</v>
      </c>
      <c r="AH1" s="62" t="str">
        <f t="shared" ref="AH1" si="23">AH3&amp;"_"&amp;AH2</f>
        <v>13_1</v>
      </c>
      <c r="AI1" s="62" t="str">
        <f t="shared" ref="AI1" si="24">AI3&amp;"_"&amp;AI2</f>
        <v>13_2</v>
      </c>
      <c r="AJ1" s="62" t="str">
        <f t="shared" ref="AJ1" si="25">AJ3&amp;"_"&amp;AJ2</f>
        <v>13_3</v>
      </c>
      <c r="AK1" s="62" t="str">
        <f t="shared" ref="AK1" si="26">AK3&amp;"_"&amp;AK2</f>
        <v>14_1</v>
      </c>
      <c r="AL1" s="62" t="str">
        <f t="shared" ref="AL1" si="27">AL3&amp;"_"&amp;AL2</f>
        <v>14_2</v>
      </c>
      <c r="AM1" s="62" t="str">
        <f t="shared" ref="AM1" si="28">AM3&amp;"_"&amp;AM2</f>
        <v>14_3</v>
      </c>
      <c r="AN1" s="62" t="str">
        <f t="shared" ref="AN1" si="29">AN3&amp;"_"&amp;AN2</f>
        <v>14_4</v>
      </c>
      <c r="AO1" s="62" t="str">
        <f t="shared" ref="AO1" si="30">AO3&amp;"_"&amp;AO2</f>
        <v>14_5</v>
      </c>
      <c r="AP1" s="62" t="str">
        <f t="shared" ref="AP1" si="31">AP3&amp;"_"&amp;AP2</f>
        <v>14_6</v>
      </c>
      <c r="AQ1" s="62" t="str">
        <f t="shared" ref="AQ1" si="32">AQ3&amp;"_"&amp;AQ2</f>
        <v>14_7</v>
      </c>
      <c r="AR1" s="62" t="str">
        <f t="shared" ref="AR1" si="33">AR3&amp;"_"&amp;AR2</f>
        <v>14_8</v>
      </c>
      <c r="AS1" s="62" t="str">
        <f t="shared" ref="AS1" si="34">AS3&amp;"_"&amp;AS2</f>
        <v>14_9</v>
      </c>
      <c r="AT1" s="62" t="str">
        <f t="shared" ref="AT1" si="35">AT3&amp;"_"&amp;AT2</f>
        <v>14_10</v>
      </c>
      <c r="AU1" s="62" t="str">
        <f t="shared" ref="AU1" si="36">AU3&amp;"_"&amp;AU2</f>
        <v>14_11</v>
      </c>
      <c r="AV1" s="62" t="str">
        <f t="shared" ref="AV1" si="37">AV3&amp;"_"&amp;AV2</f>
        <v>14_12</v>
      </c>
      <c r="AW1" s="62" t="str">
        <f t="shared" ref="AW1" si="38">AW3&amp;"_"&amp;AW2</f>
        <v>14_13</v>
      </c>
      <c r="AX1" s="62" t="str">
        <f t="shared" ref="AX1" si="39">AX3&amp;"_"&amp;AX2</f>
        <v>14_14</v>
      </c>
      <c r="AY1" s="62" t="str">
        <f t="shared" ref="AY1" si="40">AY3&amp;"_"&amp;AY2</f>
        <v>14_15</v>
      </c>
      <c r="AZ1" s="62" t="str">
        <f t="shared" ref="AZ1" si="41">AZ3&amp;"_"&amp;AZ2</f>
        <v>14_16</v>
      </c>
      <c r="BA1" s="62" t="str">
        <f t="shared" ref="BA1" si="42">BA3&amp;"_"&amp;BA2</f>
        <v>14_17</v>
      </c>
      <c r="BB1" s="62" t="str">
        <f t="shared" ref="BB1" si="43">BB3&amp;"_"&amp;BB2</f>
        <v>14_18</v>
      </c>
    </row>
    <row r="2" spans="1:54" hidden="1" x14ac:dyDescent="0.25">
      <c r="A2" s="63"/>
      <c r="B2" s="63"/>
      <c r="C2" s="63">
        <f>COUNTIF($C3:C$3,C3)</f>
        <v>1</v>
      </c>
      <c r="D2" s="63">
        <f>COUNTIF($C3:D$3,D3)</f>
        <v>2</v>
      </c>
      <c r="E2" s="63">
        <f>COUNTIF($C3:E$3,E3)</f>
        <v>1</v>
      </c>
      <c r="F2" s="63">
        <f>COUNTIF($C3:F$3,F3)</f>
        <v>2</v>
      </c>
      <c r="G2" s="63">
        <f>COUNTIF($C3:G$3,G3)</f>
        <v>3</v>
      </c>
      <c r="H2" s="63">
        <f>COUNTIF($C3:H$3,H3)</f>
        <v>1</v>
      </c>
      <c r="I2" s="63">
        <f>COUNTIF($C3:I$3,I3)</f>
        <v>2</v>
      </c>
      <c r="J2" s="63">
        <f>COUNTIF($C3:J$3,J3)</f>
        <v>3</v>
      </c>
      <c r="K2" s="63">
        <f>COUNTIF($C3:K$3,K3)</f>
        <v>4</v>
      </c>
      <c r="L2" s="63">
        <f>COUNTIF($C3:L$3,L3)</f>
        <v>1</v>
      </c>
      <c r="M2" s="63">
        <f>COUNTIF($C3:M$3,M3)</f>
        <v>1</v>
      </c>
      <c r="N2" s="63">
        <f>COUNTIF($C3:N$3,N3)</f>
        <v>1</v>
      </c>
      <c r="O2" s="63">
        <f>COUNTIF($C3:O$3,O3)</f>
        <v>2</v>
      </c>
      <c r="P2" s="63">
        <f>COUNTIF($C3:P$3,P3)</f>
        <v>3</v>
      </c>
      <c r="Q2" s="63">
        <f>COUNTIF($C3:Q$3,Q3)</f>
        <v>1</v>
      </c>
      <c r="R2" s="63">
        <f>COUNTIF($C3:R$3,R3)</f>
        <v>2</v>
      </c>
      <c r="S2" s="63">
        <f>COUNTIF($C3:S$3,S3)</f>
        <v>3</v>
      </c>
      <c r="T2" s="63">
        <f>COUNTIF($C3:T$3,T3)</f>
        <v>1</v>
      </c>
      <c r="U2" s="63">
        <f>COUNTIF($C3:U$3,U3)</f>
        <v>2</v>
      </c>
      <c r="V2" s="63">
        <f>COUNTIF($C3:V$3,V3)</f>
        <v>3</v>
      </c>
      <c r="W2" s="63">
        <f>COUNTIF($C3:W$3,W3)</f>
        <v>1</v>
      </c>
      <c r="X2" s="63">
        <f>COUNTIF($C3:X$3,X3)</f>
        <v>2</v>
      </c>
      <c r="Y2" s="63">
        <f>COUNTIF($C3:Y$3,Y3)</f>
        <v>3</v>
      </c>
      <c r="Z2" s="63">
        <f>COUNTIF($C3:Z$3,Z3)</f>
        <v>1</v>
      </c>
      <c r="AA2" s="63">
        <f>COUNTIF($C3:AA$3,AA3)</f>
        <v>1</v>
      </c>
      <c r="AB2" s="63">
        <f>COUNTIF($C3:AB$3,AB3)</f>
        <v>1</v>
      </c>
      <c r="AC2" s="63">
        <f>COUNTIF($C3:AC$3,AC3)</f>
        <v>2</v>
      </c>
      <c r="AD2" s="63">
        <f>COUNTIF($C3:AD$3,AD3)</f>
        <v>3</v>
      </c>
      <c r="AE2" s="63">
        <f>COUNTIF($C3:AE$3,AE3)</f>
        <v>1</v>
      </c>
      <c r="AF2" s="63">
        <f>COUNTIF($C3:AF$3,AF3)</f>
        <v>2</v>
      </c>
      <c r="AG2" s="63">
        <f>COUNTIF($C3:AG$3,AG3)</f>
        <v>3</v>
      </c>
      <c r="AH2" s="63">
        <f>COUNTIF($C3:AH$3,AH3)</f>
        <v>1</v>
      </c>
      <c r="AI2" s="63">
        <f>COUNTIF($C3:AI$3,AI3)</f>
        <v>2</v>
      </c>
      <c r="AJ2" s="63">
        <f>COUNTIF($C3:AJ$3,AJ3)</f>
        <v>3</v>
      </c>
      <c r="AK2" s="63">
        <f>COUNTIF($C3:AK$3,AK3)</f>
        <v>1</v>
      </c>
      <c r="AL2" s="63">
        <f>COUNTIF($C3:AL$3,AL3)</f>
        <v>2</v>
      </c>
      <c r="AM2" s="63">
        <f>COUNTIF($C3:AM$3,AM3)</f>
        <v>3</v>
      </c>
      <c r="AN2" s="63">
        <f>COUNTIF($C3:AN$3,AN3)</f>
        <v>4</v>
      </c>
      <c r="AO2" s="63">
        <f>COUNTIF($C3:AO$3,AO3)</f>
        <v>5</v>
      </c>
      <c r="AP2" s="63">
        <f>COUNTIF($C3:AP$3,AP3)</f>
        <v>6</v>
      </c>
      <c r="AQ2" s="63">
        <f>COUNTIF($C3:AQ$3,AQ3)</f>
        <v>7</v>
      </c>
      <c r="AR2" s="63">
        <f>COUNTIF($C3:AR$3,AR3)</f>
        <v>8</v>
      </c>
      <c r="AS2" s="63">
        <f>COUNTIF($C3:AS$3,AS3)</f>
        <v>9</v>
      </c>
      <c r="AT2" s="63">
        <f>COUNTIF($C3:AT$3,AT3)</f>
        <v>10</v>
      </c>
      <c r="AU2" s="63">
        <f>COUNTIF($C3:AU$3,AU3)</f>
        <v>11</v>
      </c>
      <c r="AV2" s="63">
        <f>COUNTIF($C3:AV$3,AV3)</f>
        <v>12</v>
      </c>
      <c r="AW2" s="63">
        <f>COUNTIF($C3:AW$3,AW3)</f>
        <v>13</v>
      </c>
      <c r="AX2" s="63">
        <f>COUNTIF($C3:AX$3,AX3)</f>
        <v>14</v>
      </c>
      <c r="AY2" s="63">
        <f>COUNTIF($C3:AY$3,AY3)</f>
        <v>15</v>
      </c>
      <c r="AZ2" s="63">
        <f>COUNTIF($C3:AZ$3,AZ3)</f>
        <v>16</v>
      </c>
      <c r="BA2" s="63">
        <f>COUNTIF($C3:BA$3,BA3)</f>
        <v>17</v>
      </c>
      <c r="BB2" s="63">
        <f>COUNTIF($C3:BB$3,BB3)</f>
        <v>18</v>
      </c>
    </row>
    <row r="3" spans="1:54" hidden="1" x14ac:dyDescent="0.25">
      <c r="A3" s="63"/>
      <c r="B3" s="63"/>
      <c r="C3" s="63">
        <f>COUNTIF($C4:C$4,1)</f>
        <v>0</v>
      </c>
      <c r="D3" s="63">
        <f>COUNTIF($C4:D$4,1)</f>
        <v>0</v>
      </c>
      <c r="E3" s="63">
        <f>COUNTIF($C4:E$4,1)</f>
        <v>1</v>
      </c>
      <c r="F3" s="63">
        <f>COUNTIF($C4:F$4,1)</f>
        <v>1</v>
      </c>
      <c r="G3" s="63">
        <f>COUNTIF($C4:G$4,1)</f>
        <v>1</v>
      </c>
      <c r="H3" s="63">
        <f>COUNTIF($C4:H$4,1)</f>
        <v>2</v>
      </c>
      <c r="I3" s="63">
        <f>COUNTIF($C4:I$4,1)</f>
        <v>2</v>
      </c>
      <c r="J3" s="63">
        <f>COUNTIF($C4:J$4,1)</f>
        <v>2</v>
      </c>
      <c r="K3" s="63">
        <f>COUNTIF($C4:K$4,1)</f>
        <v>2</v>
      </c>
      <c r="L3" s="63">
        <f>COUNTIF($C4:L$4,1)</f>
        <v>3</v>
      </c>
      <c r="M3" s="63">
        <f>COUNTIF($C4:M$4,1)</f>
        <v>4</v>
      </c>
      <c r="N3" s="63">
        <f>COUNTIF($C4:N$4,1)</f>
        <v>5</v>
      </c>
      <c r="O3" s="63">
        <f>COUNTIF($C4:O$4,1)</f>
        <v>5</v>
      </c>
      <c r="P3" s="63">
        <f>COUNTIF($C4:P$4,1)</f>
        <v>5</v>
      </c>
      <c r="Q3" s="63">
        <f>COUNTIF($C4:Q$4,1)</f>
        <v>6</v>
      </c>
      <c r="R3" s="63">
        <f>COUNTIF($C4:R$4,1)</f>
        <v>6</v>
      </c>
      <c r="S3" s="63">
        <f>COUNTIF($C4:S$4,1)</f>
        <v>6</v>
      </c>
      <c r="T3" s="63">
        <f>COUNTIF($C4:T$4,1)</f>
        <v>7</v>
      </c>
      <c r="U3" s="63">
        <f>COUNTIF($C4:U$4,1)</f>
        <v>7</v>
      </c>
      <c r="V3" s="63">
        <f>COUNTIF($C4:V$4,1)</f>
        <v>7</v>
      </c>
      <c r="W3" s="63">
        <f>COUNTIF($C4:W$4,1)</f>
        <v>8</v>
      </c>
      <c r="X3" s="63">
        <f>COUNTIF($C4:X$4,1)</f>
        <v>8</v>
      </c>
      <c r="Y3" s="63">
        <f>COUNTIF($C4:Y$4,1)</f>
        <v>8</v>
      </c>
      <c r="Z3" s="63">
        <f>COUNTIF($C4:Z$4,1)</f>
        <v>9</v>
      </c>
      <c r="AA3" s="63">
        <f>COUNTIF($C4:AA$4,1)</f>
        <v>10</v>
      </c>
      <c r="AB3" s="63">
        <f>COUNTIF($C4:AB$4,1)</f>
        <v>11</v>
      </c>
      <c r="AC3" s="63">
        <f>COUNTIF($C4:AC$4,1)</f>
        <v>11</v>
      </c>
      <c r="AD3" s="63">
        <f>COUNTIF($C4:AD$4,1)</f>
        <v>11</v>
      </c>
      <c r="AE3" s="63">
        <f>COUNTIF($C4:AE$4,1)</f>
        <v>12</v>
      </c>
      <c r="AF3" s="63">
        <f>COUNTIF($C4:AF$4,1)</f>
        <v>12</v>
      </c>
      <c r="AG3" s="63">
        <f>COUNTIF($C4:AG$4,1)</f>
        <v>12</v>
      </c>
      <c r="AH3" s="63">
        <f>COUNTIF($C4:AH$4,1)</f>
        <v>13</v>
      </c>
      <c r="AI3" s="63">
        <f>COUNTIF($C4:AI$4,1)</f>
        <v>13</v>
      </c>
      <c r="AJ3" s="63">
        <f>COUNTIF($C4:AJ$4,1)</f>
        <v>13</v>
      </c>
      <c r="AK3" s="63">
        <f>COUNTIF($C4:AK$4,1)</f>
        <v>14</v>
      </c>
      <c r="AL3" s="63">
        <f>COUNTIF($C4:AL$4,1)</f>
        <v>14</v>
      </c>
      <c r="AM3" s="63">
        <f>COUNTIF($C4:AM$4,1)</f>
        <v>14</v>
      </c>
      <c r="AN3" s="63">
        <f>COUNTIF($C4:AN$4,1)</f>
        <v>14</v>
      </c>
      <c r="AO3" s="63">
        <f>COUNTIF($C4:AO$4,1)</f>
        <v>14</v>
      </c>
      <c r="AP3" s="63">
        <f>COUNTIF($C4:AP$4,1)</f>
        <v>14</v>
      </c>
      <c r="AQ3" s="63">
        <f>COUNTIF($C4:AQ$4,1)</f>
        <v>14</v>
      </c>
      <c r="AR3" s="63">
        <f>COUNTIF($C4:AR$4,1)</f>
        <v>14</v>
      </c>
      <c r="AS3" s="63">
        <f>COUNTIF($C4:AS$4,1)</f>
        <v>14</v>
      </c>
      <c r="AT3" s="63">
        <f>COUNTIF($C4:AT$4,1)</f>
        <v>14</v>
      </c>
      <c r="AU3" s="63">
        <f>COUNTIF($C4:AU$4,1)</f>
        <v>14</v>
      </c>
      <c r="AV3" s="63">
        <f>COUNTIF($C4:AV$4,1)</f>
        <v>14</v>
      </c>
      <c r="AW3" s="63">
        <f>COUNTIF($C4:AW$4,1)</f>
        <v>14</v>
      </c>
      <c r="AX3" s="63">
        <f>COUNTIF($C4:AX$4,1)</f>
        <v>14</v>
      </c>
      <c r="AY3" s="63">
        <f>COUNTIF($C4:AY$4,1)</f>
        <v>14</v>
      </c>
      <c r="AZ3" s="63">
        <f>COUNTIF($C4:AZ$4,1)</f>
        <v>14</v>
      </c>
      <c r="BA3" s="63">
        <f>COUNTIF($C4:BA$4,1)</f>
        <v>14</v>
      </c>
      <c r="BB3" s="63">
        <f>COUNTIF($C4:BB$4,1)</f>
        <v>14</v>
      </c>
    </row>
    <row r="4" spans="1:54" ht="11" hidden="1" thickBot="1" x14ac:dyDescent="0.3">
      <c r="A4" s="63"/>
      <c r="B4" s="63"/>
      <c r="C4" s="63">
        <f>IF(UPPER(LEFT(C5,2))="H:",1,0)</f>
        <v>0</v>
      </c>
      <c r="D4" s="63">
        <f t="shared" ref="D4:BB4" si="44">IF(UPPER(LEFT(D5,2))="H:",1,0)</f>
        <v>0</v>
      </c>
      <c r="E4" s="63">
        <f t="shared" si="44"/>
        <v>1</v>
      </c>
      <c r="F4" s="63">
        <f t="shared" si="44"/>
        <v>0</v>
      </c>
      <c r="G4" s="63">
        <f t="shared" si="44"/>
        <v>0</v>
      </c>
      <c r="H4" s="63">
        <f t="shared" si="44"/>
        <v>1</v>
      </c>
      <c r="I4" s="63">
        <f t="shared" si="44"/>
        <v>0</v>
      </c>
      <c r="J4" s="63">
        <f t="shared" si="44"/>
        <v>0</v>
      </c>
      <c r="K4" s="63">
        <f t="shared" si="44"/>
        <v>0</v>
      </c>
      <c r="L4" s="63">
        <f t="shared" si="44"/>
        <v>1</v>
      </c>
      <c r="M4" s="63">
        <f t="shared" si="44"/>
        <v>1</v>
      </c>
      <c r="N4" s="63">
        <f t="shared" si="44"/>
        <v>1</v>
      </c>
      <c r="O4" s="63">
        <f t="shared" si="44"/>
        <v>0</v>
      </c>
      <c r="P4" s="63">
        <f t="shared" si="44"/>
        <v>0</v>
      </c>
      <c r="Q4" s="63">
        <f t="shared" si="44"/>
        <v>1</v>
      </c>
      <c r="R4" s="63">
        <f t="shared" si="44"/>
        <v>0</v>
      </c>
      <c r="S4" s="63">
        <f t="shared" si="44"/>
        <v>0</v>
      </c>
      <c r="T4" s="63">
        <f t="shared" si="44"/>
        <v>1</v>
      </c>
      <c r="U4" s="63">
        <f t="shared" si="44"/>
        <v>0</v>
      </c>
      <c r="V4" s="63">
        <f t="shared" si="44"/>
        <v>0</v>
      </c>
      <c r="W4" s="63">
        <f t="shared" si="44"/>
        <v>1</v>
      </c>
      <c r="X4" s="63">
        <f t="shared" si="44"/>
        <v>0</v>
      </c>
      <c r="Y4" s="63">
        <f t="shared" si="44"/>
        <v>0</v>
      </c>
      <c r="Z4" s="63">
        <f t="shared" si="44"/>
        <v>1</v>
      </c>
      <c r="AA4" s="63">
        <f t="shared" si="44"/>
        <v>1</v>
      </c>
      <c r="AB4" s="63">
        <f t="shared" si="44"/>
        <v>1</v>
      </c>
      <c r="AC4" s="63">
        <f t="shared" si="44"/>
        <v>0</v>
      </c>
      <c r="AD4" s="63">
        <f t="shared" si="44"/>
        <v>0</v>
      </c>
      <c r="AE4" s="63">
        <f t="shared" si="44"/>
        <v>1</v>
      </c>
      <c r="AF4" s="63">
        <f t="shared" si="44"/>
        <v>0</v>
      </c>
      <c r="AG4" s="63">
        <f t="shared" si="44"/>
        <v>0</v>
      </c>
      <c r="AH4" s="63">
        <f t="shared" si="44"/>
        <v>1</v>
      </c>
      <c r="AI4" s="63">
        <f t="shared" si="44"/>
        <v>0</v>
      </c>
      <c r="AJ4" s="63">
        <f t="shared" si="44"/>
        <v>0</v>
      </c>
      <c r="AK4" s="63">
        <f t="shared" si="44"/>
        <v>1</v>
      </c>
      <c r="AL4" s="63">
        <f t="shared" si="44"/>
        <v>0</v>
      </c>
      <c r="AM4" s="63">
        <f t="shared" si="44"/>
        <v>0</v>
      </c>
      <c r="AN4" s="63">
        <f t="shared" si="44"/>
        <v>0</v>
      </c>
      <c r="AO4" s="63">
        <f t="shared" si="44"/>
        <v>0</v>
      </c>
      <c r="AP4" s="63">
        <f t="shared" si="44"/>
        <v>0</v>
      </c>
      <c r="AQ4" s="63">
        <f t="shared" si="44"/>
        <v>0</v>
      </c>
      <c r="AR4" s="63">
        <f t="shared" si="44"/>
        <v>0</v>
      </c>
      <c r="AS4" s="63">
        <f t="shared" si="44"/>
        <v>0</v>
      </c>
      <c r="AT4" s="63">
        <f t="shared" si="44"/>
        <v>0</v>
      </c>
      <c r="AU4" s="63">
        <f t="shared" si="44"/>
        <v>0</v>
      </c>
      <c r="AV4" s="63">
        <f t="shared" si="44"/>
        <v>0</v>
      </c>
      <c r="AW4" s="63">
        <f t="shared" si="44"/>
        <v>0</v>
      </c>
      <c r="AX4" s="63">
        <f t="shared" si="44"/>
        <v>0</v>
      </c>
      <c r="AY4" s="63">
        <f t="shared" si="44"/>
        <v>0</v>
      </c>
      <c r="AZ4" s="63">
        <f t="shared" si="44"/>
        <v>0</v>
      </c>
      <c r="BA4" s="63">
        <f t="shared" si="44"/>
        <v>0</v>
      </c>
      <c r="BB4" s="63">
        <f t="shared" si="44"/>
        <v>0</v>
      </c>
    </row>
    <row r="5" spans="1:54" s="97" customFormat="1" ht="57.5" customHeight="1" x14ac:dyDescent="0.35">
      <c r="A5" s="91"/>
      <c r="B5" s="91"/>
      <c r="C5" s="92" t="s">
        <v>33</v>
      </c>
      <c r="D5" s="93" t="s">
        <v>34</v>
      </c>
      <c r="E5" s="94" t="s">
        <v>38</v>
      </c>
      <c r="F5" s="95" t="s">
        <v>28</v>
      </c>
      <c r="G5" s="95" t="s">
        <v>29</v>
      </c>
      <c r="H5" s="94" t="s">
        <v>39</v>
      </c>
      <c r="I5" s="95" t="s">
        <v>28</v>
      </c>
      <c r="J5" s="95" t="s">
        <v>29</v>
      </c>
      <c r="K5" s="95"/>
      <c r="L5" s="95" t="s">
        <v>43</v>
      </c>
      <c r="M5" s="95" t="s">
        <v>44</v>
      </c>
      <c r="N5" s="94" t="s">
        <v>40</v>
      </c>
      <c r="O5" s="95" t="s">
        <v>28</v>
      </c>
      <c r="P5" s="95" t="s">
        <v>29</v>
      </c>
      <c r="Q5" s="94" t="s">
        <v>41</v>
      </c>
      <c r="R5" s="95" t="s">
        <v>28</v>
      </c>
      <c r="S5" s="95" t="s">
        <v>29</v>
      </c>
      <c r="T5" s="94" t="s">
        <v>42</v>
      </c>
      <c r="U5" s="95" t="s">
        <v>28</v>
      </c>
      <c r="V5" s="95" t="s">
        <v>29</v>
      </c>
      <c r="W5" s="94" t="s">
        <v>47</v>
      </c>
      <c r="X5" s="95" t="s">
        <v>28</v>
      </c>
      <c r="Y5" s="95" t="s">
        <v>29</v>
      </c>
      <c r="Z5" s="95" t="s">
        <v>43</v>
      </c>
      <c r="AA5" s="95" t="s">
        <v>48</v>
      </c>
      <c r="AB5" s="94" t="s">
        <v>40</v>
      </c>
      <c r="AC5" s="95" t="s">
        <v>28</v>
      </c>
      <c r="AD5" s="96" t="s">
        <v>29</v>
      </c>
      <c r="AE5" s="94" t="s">
        <v>49</v>
      </c>
      <c r="AF5" s="95" t="s">
        <v>28</v>
      </c>
      <c r="AG5" s="96" t="s">
        <v>29</v>
      </c>
      <c r="AH5" s="94" t="s">
        <v>42</v>
      </c>
      <c r="AI5" s="95" t="s">
        <v>28</v>
      </c>
      <c r="AJ5" s="96" t="s">
        <v>29</v>
      </c>
      <c r="AK5" s="94" t="s">
        <v>50</v>
      </c>
      <c r="AL5" s="95" t="s">
        <v>28</v>
      </c>
      <c r="AM5" s="96" t="s">
        <v>29</v>
      </c>
      <c r="AN5" s="94"/>
      <c r="AO5" s="95" t="s">
        <v>28</v>
      </c>
      <c r="AP5" s="96" t="s">
        <v>29</v>
      </c>
      <c r="AQ5" s="94"/>
      <c r="AR5" s="95" t="s">
        <v>28</v>
      </c>
      <c r="AS5" s="96" t="s">
        <v>29</v>
      </c>
      <c r="AT5" s="94"/>
      <c r="AU5" s="95" t="s">
        <v>28</v>
      </c>
      <c r="AV5" s="96" t="s">
        <v>29</v>
      </c>
      <c r="AW5" s="94"/>
      <c r="AX5" s="95" t="s">
        <v>28</v>
      </c>
      <c r="AY5" s="96" t="s">
        <v>29</v>
      </c>
      <c r="AZ5" s="94"/>
      <c r="BA5" s="95" t="s">
        <v>28</v>
      </c>
      <c r="BB5" s="96" t="s">
        <v>29</v>
      </c>
    </row>
    <row r="6" spans="1:54" ht="12" x14ac:dyDescent="0.35">
      <c r="A6" s="63">
        <v>1</v>
      </c>
      <c r="B6" s="63" t="str">
        <f>C6&amp;" "&amp;IF(AND(C6&lt;&gt;"", D6&lt;&gt;""),"- ","")&amp;D6</f>
        <v>BG13ZTGP - Volvo FH440</v>
      </c>
      <c r="C6" s="64" t="s">
        <v>35</v>
      </c>
      <c r="D6" s="65" t="s">
        <v>36</v>
      </c>
      <c r="E6" s="66" t="s">
        <v>4</v>
      </c>
      <c r="F6" s="67">
        <v>40179</v>
      </c>
      <c r="G6" s="67">
        <v>43151</v>
      </c>
      <c r="H6" s="90" t="s">
        <v>45</v>
      </c>
      <c r="I6" s="69" t="s">
        <v>45</v>
      </c>
      <c r="J6" s="69" t="s">
        <v>46</v>
      </c>
      <c r="K6" s="70"/>
      <c r="L6" s="70"/>
      <c r="M6" s="71"/>
      <c r="N6" s="66" t="s">
        <v>4</v>
      </c>
      <c r="O6" s="67">
        <v>40179</v>
      </c>
      <c r="P6" s="67">
        <v>43133</v>
      </c>
      <c r="Q6" s="72" t="s">
        <v>6</v>
      </c>
      <c r="R6" s="73">
        <v>40605</v>
      </c>
      <c r="S6" s="73">
        <v>43559</v>
      </c>
      <c r="T6" s="74" t="s">
        <v>8</v>
      </c>
      <c r="U6" s="75">
        <v>41034</v>
      </c>
      <c r="V6" s="75">
        <v>43622</v>
      </c>
      <c r="W6" s="72" t="s">
        <v>10</v>
      </c>
      <c r="X6" s="73">
        <v>41462</v>
      </c>
      <c r="Y6" s="73">
        <v>43685</v>
      </c>
      <c r="Z6" s="73"/>
      <c r="AA6" s="76"/>
      <c r="AB6" s="74" t="s">
        <v>4</v>
      </c>
      <c r="AC6" s="75">
        <v>40179</v>
      </c>
      <c r="AD6" s="75">
        <v>43133</v>
      </c>
      <c r="AE6" s="72" t="s">
        <v>6</v>
      </c>
      <c r="AF6" s="73">
        <v>40605</v>
      </c>
      <c r="AG6" s="73">
        <v>43559</v>
      </c>
      <c r="AH6" s="74" t="s">
        <v>8</v>
      </c>
      <c r="AI6" s="75">
        <v>41034</v>
      </c>
      <c r="AJ6" s="77">
        <v>43622</v>
      </c>
      <c r="AK6" s="72" t="s">
        <v>10</v>
      </c>
      <c r="AL6" s="73">
        <v>43288</v>
      </c>
      <c r="AM6" s="73">
        <v>43380</v>
      </c>
      <c r="AN6" s="74"/>
      <c r="AO6" s="75"/>
      <c r="AP6" s="77"/>
      <c r="AQ6" s="72"/>
      <c r="AR6" s="73"/>
      <c r="AS6" s="73"/>
      <c r="AT6" s="74"/>
      <c r="AU6" s="75"/>
      <c r="AV6" s="77"/>
      <c r="AW6" s="72"/>
      <c r="AX6" s="73"/>
      <c r="AY6" s="73"/>
      <c r="AZ6" s="74"/>
      <c r="BA6" s="75"/>
      <c r="BB6" s="77"/>
    </row>
    <row r="7" spans="1:54" ht="12" x14ac:dyDescent="0.35">
      <c r="A7" s="63">
        <v>2</v>
      </c>
      <c r="B7" s="63" t="str">
        <f t="shared" ref="B7:B42" si="45">C7&amp;" "&amp;IF(AND(C7&lt;&gt;"", D7&lt;&gt;""),"- ","")&amp;D7</f>
        <v>BG13ZTGP - Volvo FH440</v>
      </c>
      <c r="C7" s="78" t="s">
        <v>35</v>
      </c>
      <c r="D7" s="79" t="s">
        <v>36</v>
      </c>
      <c r="E7" s="66" t="s">
        <v>4</v>
      </c>
      <c r="F7" s="67">
        <v>40179</v>
      </c>
      <c r="G7" s="67">
        <v>43151</v>
      </c>
      <c r="H7" s="90" t="s">
        <v>45</v>
      </c>
      <c r="I7" s="69" t="s">
        <v>45</v>
      </c>
      <c r="J7" s="69" t="s">
        <v>46</v>
      </c>
      <c r="K7" s="70"/>
      <c r="L7" s="70"/>
      <c r="M7" s="71"/>
      <c r="N7" s="66" t="s">
        <v>4</v>
      </c>
      <c r="O7" s="67">
        <v>40179</v>
      </c>
      <c r="P7" s="67">
        <v>43133</v>
      </c>
      <c r="Q7" s="68" t="s">
        <v>6</v>
      </c>
      <c r="R7" s="70">
        <v>40605</v>
      </c>
      <c r="S7" s="70">
        <v>43559</v>
      </c>
      <c r="T7" s="66" t="s">
        <v>8</v>
      </c>
      <c r="U7" s="67">
        <v>41034</v>
      </c>
      <c r="V7" s="67">
        <v>43622</v>
      </c>
      <c r="W7" s="68" t="s">
        <v>10</v>
      </c>
      <c r="X7" s="70">
        <v>41462</v>
      </c>
      <c r="Y7" s="70">
        <v>43685</v>
      </c>
      <c r="Z7" s="70"/>
      <c r="AA7" s="71"/>
      <c r="AB7" s="66" t="s">
        <v>4</v>
      </c>
      <c r="AC7" s="67">
        <v>40179</v>
      </c>
      <c r="AD7" s="67">
        <v>43133</v>
      </c>
      <c r="AE7" s="68" t="s">
        <v>6</v>
      </c>
      <c r="AF7" s="70">
        <v>40605</v>
      </c>
      <c r="AG7" s="70">
        <v>43559</v>
      </c>
      <c r="AH7" s="66" t="s">
        <v>8</v>
      </c>
      <c r="AI7" s="67">
        <v>41034</v>
      </c>
      <c r="AJ7" s="80">
        <v>43622</v>
      </c>
      <c r="AK7" s="68" t="s">
        <v>10</v>
      </c>
      <c r="AL7" s="70">
        <v>43288</v>
      </c>
      <c r="AM7" s="70">
        <v>43380</v>
      </c>
      <c r="AN7" s="66"/>
      <c r="AO7" s="67"/>
      <c r="AP7" s="80"/>
      <c r="AQ7" s="68"/>
      <c r="AR7" s="70"/>
      <c r="AS7" s="70"/>
      <c r="AT7" s="66"/>
      <c r="AU7" s="67"/>
      <c r="AV7" s="80"/>
      <c r="AW7" s="68"/>
      <c r="AX7" s="70"/>
      <c r="AY7" s="70"/>
      <c r="AZ7" s="66"/>
      <c r="BA7" s="67"/>
      <c r="BB7" s="80"/>
    </row>
    <row r="8" spans="1:54" ht="12" x14ac:dyDescent="0.35">
      <c r="A8" s="63">
        <v>3</v>
      </c>
      <c r="B8" s="63" t="str">
        <f t="shared" si="45"/>
        <v>BG13ZTGP - Volvo FH440</v>
      </c>
      <c r="C8" s="78" t="s">
        <v>35</v>
      </c>
      <c r="D8" s="79" t="s">
        <v>36</v>
      </c>
      <c r="E8" s="66" t="s">
        <v>4</v>
      </c>
      <c r="F8" s="67">
        <v>40179</v>
      </c>
      <c r="G8" s="67">
        <v>43151</v>
      </c>
      <c r="H8" s="90" t="s">
        <v>45</v>
      </c>
      <c r="I8" s="69" t="s">
        <v>45</v>
      </c>
      <c r="J8" s="69" t="s">
        <v>46</v>
      </c>
      <c r="K8" s="70"/>
      <c r="L8" s="70"/>
      <c r="M8" s="71"/>
      <c r="N8" s="66" t="s">
        <v>4</v>
      </c>
      <c r="O8" s="67">
        <v>40179</v>
      </c>
      <c r="P8" s="67">
        <v>43133</v>
      </c>
      <c r="Q8" s="68" t="s">
        <v>6</v>
      </c>
      <c r="R8" s="70">
        <v>40605</v>
      </c>
      <c r="S8" s="70">
        <v>43559</v>
      </c>
      <c r="T8" s="66" t="s">
        <v>8</v>
      </c>
      <c r="U8" s="67">
        <v>41034</v>
      </c>
      <c r="V8" s="67">
        <v>43622</v>
      </c>
      <c r="W8" s="68" t="s">
        <v>10</v>
      </c>
      <c r="X8" s="70">
        <v>41462</v>
      </c>
      <c r="Y8" s="70">
        <v>43685</v>
      </c>
      <c r="Z8" s="70"/>
      <c r="AA8" s="71"/>
      <c r="AB8" s="66" t="s">
        <v>4</v>
      </c>
      <c r="AC8" s="67">
        <v>40179</v>
      </c>
      <c r="AD8" s="67">
        <v>43133</v>
      </c>
      <c r="AE8" s="68" t="s">
        <v>6</v>
      </c>
      <c r="AF8" s="70">
        <v>40605</v>
      </c>
      <c r="AG8" s="70">
        <v>43559</v>
      </c>
      <c r="AH8" s="66" t="s">
        <v>8</v>
      </c>
      <c r="AI8" s="67">
        <v>41034</v>
      </c>
      <c r="AJ8" s="80">
        <v>43622</v>
      </c>
      <c r="AK8" s="68" t="s">
        <v>10</v>
      </c>
      <c r="AL8" s="70">
        <v>43288</v>
      </c>
      <c r="AM8" s="70">
        <v>43380</v>
      </c>
      <c r="AN8" s="66"/>
      <c r="AO8" s="67"/>
      <c r="AP8" s="80"/>
      <c r="AQ8" s="68"/>
      <c r="AR8" s="70"/>
      <c r="AS8" s="70"/>
      <c r="AT8" s="66"/>
      <c r="AU8" s="67"/>
      <c r="AV8" s="80"/>
      <c r="AW8" s="68"/>
      <c r="AX8" s="70"/>
      <c r="AY8" s="70"/>
      <c r="AZ8" s="66"/>
      <c r="BA8" s="67"/>
      <c r="BB8" s="80"/>
    </row>
    <row r="9" spans="1:54" ht="12" x14ac:dyDescent="0.35">
      <c r="A9" s="63">
        <v>4</v>
      </c>
      <c r="B9" s="63" t="str">
        <f t="shared" si="45"/>
        <v>BG13ZTGP - Volvo FH440</v>
      </c>
      <c r="C9" s="78" t="s">
        <v>35</v>
      </c>
      <c r="D9" s="79" t="s">
        <v>36</v>
      </c>
      <c r="E9" s="66" t="s">
        <v>4</v>
      </c>
      <c r="F9" s="67">
        <v>40179</v>
      </c>
      <c r="G9" s="67">
        <v>43151</v>
      </c>
      <c r="H9" s="90" t="s">
        <v>45</v>
      </c>
      <c r="I9" s="69" t="s">
        <v>45</v>
      </c>
      <c r="J9" s="69" t="s">
        <v>46</v>
      </c>
      <c r="K9" s="70"/>
      <c r="L9" s="70"/>
      <c r="M9" s="71"/>
      <c r="N9" s="66" t="s">
        <v>4</v>
      </c>
      <c r="O9" s="67">
        <v>40179</v>
      </c>
      <c r="P9" s="67">
        <v>43133</v>
      </c>
      <c r="Q9" s="68" t="s">
        <v>6</v>
      </c>
      <c r="R9" s="70">
        <v>40605</v>
      </c>
      <c r="S9" s="70">
        <v>43559</v>
      </c>
      <c r="T9" s="66" t="s">
        <v>8</v>
      </c>
      <c r="U9" s="67">
        <v>41034</v>
      </c>
      <c r="V9" s="67">
        <v>43622</v>
      </c>
      <c r="W9" s="68" t="s">
        <v>10</v>
      </c>
      <c r="X9" s="70">
        <v>41462</v>
      </c>
      <c r="Y9" s="70">
        <v>43685</v>
      </c>
      <c r="Z9" s="70"/>
      <c r="AA9" s="71"/>
      <c r="AB9" s="66" t="s">
        <v>4</v>
      </c>
      <c r="AC9" s="67">
        <v>40179</v>
      </c>
      <c r="AD9" s="67">
        <v>43133</v>
      </c>
      <c r="AE9" s="68" t="s">
        <v>6</v>
      </c>
      <c r="AF9" s="70">
        <v>40605</v>
      </c>
      <c r="AG9" s="70">
        <v>43559</v>
      </c>
      <c r="AH9" s="66" t="s">
        <v>8</v>
      </c>
      <c r="AI9" s="67">
        <v>41034</v>
      </c>
      <c r="AJ9" s="80">
        <v>43622</v>
      </c>
      <c r="AK9" s="68" t="s">
        <v>10</v>
      </c>
      <c r="AL9" s="70">
        <v>43288</v>
      </c>
      <c r="AM9" s="70">
        <v>43380</v>
      </c>
      <c r="AN9" s="66"/>
      <c r="AO9" s="67"/>
      <c r="AP9" s="80"/>
      <c r="AQ9" s="68"/>
      <c r="AR9" s="70"/>
      <c r="AS9" s="70"/>
      <c r="AT9" s="66"/>
      <c r="AU9" s="67"/>
      <c r="AV9" s="80"/>
      <c r="AW9" s="68"/>
      <c r="AX9" s="70"/>
      <c r="AY9" s="70"/>
      <c r="AZ9" s="66"/>
      <c r="BA9" s="67"/>
      <c r="BB9" s="80"/>
    </row>
    <row r="10" spans="1:54" ht="12" x14ac:dyDescent="0.35">
      <c r="A10" s="63">
        <v>5</v>
      </c>
      <c r="B10" s="63" t="str">
        <f t="shared" si="45"/>
        <v xml:space="preserve"> </v>
      </c>
      <c r="C10" s="78"/>
      <c r="D10" s="79"/>
      <c r="E10" s="66"/>
      <c r="F10" s="67"/>
      <c r="G10" s="67"/>
      <c r="H10" s="68"/>
      <c r="I10" s="70"/>
      <c r="J10" s="70"/>
      <c r="K10" s="70"/>
      <c r="L10" s="70"/>
      <c r="M10" s="71"/>
      <c r="N10" s="66"/>
      <c r="O10" s="67"/>
      <c r="P10" s="67"/>
      <c r="Q10" s="68"/>
      <c r="R10" s="70"/>
      <c r="S10" s="70"/>
      <c r="T10" s="66"/>
      <c r="U10" s="67"/>
      <c r="V10" s="67"/>
      <c r="W10" s="68"/>
      <c r="X10" s="70"/>
      <c r="Y10" s="70"/>
      <c r="Z10" s="70"/>
      <c r="AA10" s="71"/>
      <c r="AB10" s="66"/>
      <c r="AC10" s="67"/>
      <c r="AD10" s="67"/>
      <c r="AE10" s="68"/>
      <c r="AF10" s="70"/>
      <c r="AG10" s="70"/>
      <c r="AH10" s="66"/>
      <c r="AI10" s="67"/>
      <c r="AJ10" s="80"/>
      <c r="AK10" s="68"/>
      <c r="AL10" s="70"/>
      <c r="AM10" s="70"/>
      <c r="AN10" s="66"/>
      <c r="AO10" s="67"/>
      <c r="AP10" s="80"/>
      <c r="AQ10" s="68"/>
      <c r="AR10" s="70"/>
      <c r="AS10" s="70"/>
      <c r="AT10" s="66"/>
      <c r="AU10" s="67"/>
      <c r="AV10" s="80"/>
      <c r="AW10" s="68"/>
      <c r="AX10" s="70"/>
      <c r="AY10" s="70"/>
      <c r="AZ10" s="66"/>
      <c r="BA10" s="67"/>
      <c r="BB10" s="80"/>
    </row>
    <row r="11" spans="1:54" ht="12" x14ac:dyDescent="0.35">
      <c r="A11" s="63">
        <v>6</v>
      </c>
      <c r="B11" s="63" t="str">
        <f t="shared" si="45"/>
        <v xml:space="preserve"> </v>
      </c>
      <c r="C11" s="78"/>
      <c r="D11" s="79"/>
      <c r="E11" s="66"/>
      <c r="F11" s="67"/>
      <c r="G11" s="67"/>
      <c r="H11" s="68"/>
      <c r="I11" s="70"/>
      <c r="J11" s="70"/>
      <c r="K11" s="70"/>
      <c r="L11" s="70"/>
      <c r="M11" s="71"/>
      <c r="N11" s="66"/>
      <c r="O11" s="67"/>
      <c r="P11" s="67"/>
      <c r="Q11" s="68"/>
      <c r="R11" s="70"/>
      <c r="S11" s="70"/>
      <c r="T11" s="66"/>
      <c r="U11" s="67"/>
      <c r="V11" s="67"/>
      <c r="W11" s="68"/>
      <c r="X11" s="70"/>
      <c r="Y11" s="70"/>
      <c r="Z11" s="70"/>
      <c r="AA11" s="71"/>
      <c r="AB11" s="66"/>
      <c r="AC11" s="67"/>
      <c r="AD11" s="67"/>
      <c r="AE11" s="68"/>
      <c r="AF11" s="70"/>
      <c r="AG11" s="70"/>
      <c r="AH11" s="66"/>
      <c r="AI11" s="67"/>
      <c r="AJ11" s="80"/>
      <c r="AK11" s="68"/>
      <c r="AL11" s="70"/>
      <c r="AM11" s="70"/>
      <c r="AN11" s="66"/>
      <c r="AO11" s="67"/>
      <c r="AP11" s="80"/>
      <c r="AQ11" s="68"/>
      <c r="AR11" s="70"/>
      <c r="AS11" s="70"/>
      <c r="AT11" s="66"/>
      <c r="AU11" s="67"/>
      <c r="AV11" s="80"/>
      <c r="AW11" s="68"/>
      <c r="AX11" s="70"/>
      <c r="AY11" s="70"/>
      <c r="AZ11" s="66"/>
      <c r="BA11" s="67"/>
      <c r="BB11" s="80"/>
    </row>
    <row r="12" spans="1:54" ht="12" x14ac:dyDescent="0.35">
      <c r="A12" s="63">
        <v>7</v>
      </c>
      <c r="B12" s="63" t="str">
        <f t="shared" si="45"/>
        <v xml:space="preserve"> </v>
      </c>
      <c r="C12" s="78"/>
      <c r="D12" s="79"/>
      <c r="E12" s="66"/>
      <c r="F12" s="67"/>
      <c r="G12" s="67"/>
      <c r="H12" s="68"/>
      <c r="I12" s="70"/>
      <c r="J12" s="70"/>
      <c r="K12" s="70"/>
      <c r="L12" s="70"/>
      <c r="M12" s="71"/>
      <c r="N12" s="66"/>
      <c r="O12" s="67"/>
      <c r="P12" s="67"/>
      <c r="Q12" s="68"/>
      <c r="R12" s="70"/>
      <c r="S12" s="70"/>
      <c r="T12" s="66"/>
      <c r="U12" s="67"/>
      <c r="V12" s="67"/>
      <c r="W12" s="68"/>
      <c r="X12" s="70"/>
      <c r="Y12" s="70"/>
      <c r="Z12" s="70"/>
      <c r="AA12" s="71"/>
      <c r="AB12" s="66"/>
      <c r="AC12" s="67"/>
      <c r="AD12" s="67"/>
      <c r="AE12" s="68"/>
      <c r="AF12" s="70"/>
      <c r="AG12" s="70"/>
      <c r="AH12" s="66"/>
      <c r="AI12" s="67"/>
      <c r="AJ12" s="80"/>
      <c r="AK12" s="68"/>
      <c r="AL12" s="70"/>
      <c r="AM12" s="70"/>
      <c r="AN12" s="66"/>
      <c r="AO12" s="67"/>
      <c r="AP12" s="80"/>
      <c r="AQ12" s="68"/>
      <c r="AR12" s="70"/>
      <c r="AS12" s="70"/>
      <c r="AT12" s="66"/>
      <c r="AU12" s="67"/>
      <c r="AV12" s="80"/>
      <c r="AW12" s="68"/>
      <c r="AX12" s="70"/>
      <c r="AY12" s="70"/>
      <c r="AZ12" s="66"/>
      <c r="BA12" s="67"/>
      <c r="BB12" s="80"/>
    </row>
    <row r="13" spans="1:54" ht="12" x14ac:dyDescent="0.35">
      <c r="A13" s="63">
        <v>8</v>
      </c>
      <c r="B13" s="63" t="str">
        <f t="shared" si="45"/>
        <v xml:space="preserve"> </v>
      </c>
      <c r="C13" s="78"/>
      <c r="D13" s="79"/>
      <c r="E13" s="66"/>
      <c r="F13" s="67"/>
      <c r="G13" s="67"/>
      <c r="H13" s="68"/>
      <c r="I13" s="70"/>
      <c r="J13" s="70"/>
      <c r="K13" s="70"/>
      <c r="L13" s="70"/>
      <c r="M13" s="71"/>
      <c r="N13" s="66"/>
      <c r="O13" s="67"/>
      <c r="P13" s="67"/>
      <c r="Q13" s="68"/>
      <c r="R13" s="70"/>
      <c r="S13" s="70"/>
      <c r="T13" s="66"/>
      <c r="U13" s="67"/>
      <c r="V13" s="67"/>
      <c r="W13" s="68"/>
      <c r="X13" s="70"/>
      <c r="Y13" s="70"/>
      <c r="Z13" s="70"/>
      <c r="AA13" s="71"/>
      <c r="AB13" s="66"/>
      <c r="AC13" s="67"/>
      <c r="AD13" s="67"/>
      <c r="AE13" s="68"/>
      <c r="AF13" s="70"/>
      <c r="AG13" s="70"/>
      <c r="AH13" s="66"/>
      <c r="AI13" s="67"/>
      <c r="AJ13" s="80"/>
      <c r="AK13" s="68"/>
      <c r="AL13" s="70"/>
      <c r="AM13" s="70"/>
      <c r="AN13" s="66"/>
      <c r="AO13" s="67"/>
      <c r="AP13" s="80"/>
      <c r="AQ13" s="68"/>
      <c r="AR13" s="70"/>
      <c r="AS13" s="70"/>
      <c r="AT13" s="66"/>
      <c r="AU13" s="67"/>
      <c r="AV13" s="80"/>
      <c r="AW13" s="68"/>
      <c r="AX13" s="70"/>
      <c r="AY13" s="70"/>
      <c r="AZ13" s="66"/>
      <c r="BA13" s="67"/>
      <c r="BB13" s="80"/>
    </row>
    <row r="14" spans="1:54" ht="12" x14ac:dyDescent="0.35">
      <c r="A14" s="63">
        <v>9</v>
      </c>
      <c r="B14" s="63" t="str">
        <f t="shared" si="45"/>
        <v xml:space="preserve"> </v>
      </c>
      <c r="C14" s="78"/>
      <c r="D14" s="79"/>
      <c r="E14" s="66"/>
      <c r="F14" s="67"/>
      <c r="G14" s="67"/>
      <c r="H14" s="68"/>
      <c r="I14" s="70"/>
      <c r="J14" s="70"/>
      <c r="K14" s="70"/>
      <c r="L14" s="70"/>
      <c r="M14" s="71"/>
      <c r="N14" s="66"/>
      <c r="O14" s="67"/>
      <c r="P14" s="67"/>
      <c r="Q14" s="68"/>
      <c r="R14" s="70"/>
      <c r="S14" s="70"/>
      <c r="T14" s="66"/>
      <c r="U14" s="67"/>
      <c r="V14" s="67"/>
      <c r="W14" s="68"/>
      <c r="X14" s="70"/>
      <c r="Y14" s="70"/>
      <c r="Z14" s="70"/>
      <c r="AA14" s="71"/>
      <c r="AB14" s="66"/>
      <c r="AC14" s="67"/>
      <c r="AD14" s="67"/>
      <c r="AE14" s="68"/>
      <c r="AF14" s="70"/>
      <c r="AG14" s="70"/>
      <c r="AH14" s="66"/>
      <c r="AI14" s="67"/>
      <c r="AJ14" s="80"/>
      <c r="AK14" s="68"/>
      <c r="AL14" s="70"/>
      <c r="AM14" s="70"/>
      <c r="AN14" s="66"/>
      <c r="AO14" s="67"/>
      <c r="AP14" s="80"/>
      <c r="AQ14" s="68"/>
      <c r="AR14" s="70"/>
      <c r="AS14" s="70"/>
      <c r="AT14" s="66"/>
      <c r="AU14" s="67"/>
      <c r="AV14" s="80"/>
      <c r="AW14" s="68"/>
      <c r="AX14" s="70"/>
      <c r="AY14" s="70"/>
      <c r="AZ14" s="66"/>
      <c r="BA14" s="67"/>
      <c r="BB14" s="80"/>
    </row>
    <row r="15" spans="1:54" ht="12" x14ac:dyDescent="0.35">
      <c r="A15" s="63">
        <v>10</v>
      </c>
      <c r="B15" s="63" t="str">
        <f t="shared" si="45"/>
        <v xml:space="preserve"> </v>
      </c>
      <c r="C15" s="78"/>
      <c r="D15" s="79"/>
      <c r="E15" s="66"/>
      <c r="F15" s="67"/>
      <c r="G15" s="67"/>
      <c r="H15" s="68"/>
      <c r="I15" s="70"/>
      <c r="J15" s="70"/>
      <c r="K15" s="70"/>
      <c r="L15" s="70"/>
      <c r="M15" s="71"/>
      <c r="N15" s="66"/>
      <c r="O15" s="67"/>
      <c r="P15" s="67"/>
      <c r="Q15" s="68"/>
      <c r="R15" s="70"/>
      <c r="S15" s="70"/>
      <c r="T15" s="66"/>
      <c r="U15" s="67"/>
      <c r="V15" s="67"/>
      <c r="W15" s="68"/>
      <c r="X15" s="70"/>
      <c r="Y15" s="70"/>
      <c r="Z15" s="70"/>
      <c r="AA15" s="71"/>
      <c r="AB15" s="66"/>
      <c r="AC15" s="67"/>
      <c r="AD15" s="67"/>
      <c r="AE15" s="68"/>
      <c r="AF15" s="70"/>
      <c r="AG15" s="70"/>
      <c r="AH15" s="66"/>
      <c r="AI15" s="67"/>
      <c r="AJ15" s="80"/>
      <c r="AK15" s="68"/>
      <c r="AL15" s="70"/>
      <c r="AM15" s="70"/>
      <c r="AN15" s="66"/>
      <c r="AO15" s="67"/>
      <c r="AP15" s="80"/>
      <c r="AQ15" s="68"/>
      <c r="AR15" s="70"/>
      <c r="AS15" s="70"/>
      <c r="AT15" s="66"/>
      <c r="AU15" s="67"/>
      <c r="AV15" s="80"/>
      <c r="AW15" s="68"/>
      <c r="AX15" s="70"/>
      <c r="AY15" s="70"/>
      <c r="AZ15" s="66"/>
      <c r="BA15" s="67"/>
      <c r="BB15" s="80"/>
    </row>
    <row r="16" spans="1:54" ht="12" x14ac:dyDescent="0.35">
      <c r="A16" s="63">
        <v>11</v>
      </c>
      <c r="B16" s="63" t="str">
        <f t="shared" si="45"/>
        <v xml:space="preserve"> </v>
      </c>
      <c r="C16" s="78"/>
      <c r="D16" s="79"/>
      <c r="E16" s="66"/>
      <c r="F16" s="67"/>
      <c r="G16" s="67"/>
      <c r="H16" s="68"/>
      <c r="I16" s="70"/>
      <c r="J16" s="70"/>
      <c r="K16" s="70"/>
      <c r="L16" s="70"/>
      <c r="M16" s="71"/>
      <c r="N16" s="66"/>
      <c r="O16" s="67"/>
      <c r="P16" s="67"/>
      <c r="Q16" s="68"/>
      <c r="R16" s="70"/>
      <c r="S16" s="70"/>
      <c r="T16" s="66"/>
      <c r="U16" s="67"/>
      <c r="V16" s="67"/>
      <c r="W16" s="68"/>
      <c r="X16" s="70"/>
      <c r="Y16" s="70"/>
      <c r="Z16" s="70"/>
      <c r="AA16" s="71"/>
      <c r="AB16" s="66"/>
      <c r="AC16" s="67"/>
      <c r="AD16" s="67"/>
      <c r="AE16" s="68"/>
      <c r="AF16" s="70"/>
      <c r="AG16" s="70"/>
      <c r="AH16" s="66"/>
      <c r="AI16" s="67"/>
      <c r="AJ16" s="80"/>
      <c r="AK16" s="68"/>
      <c r="AL16" s="70"/>
      <c r="AM16" s="70"/>
      <c r="AN16" s="66"/>
      <c r="AO16" s="67"/>
      <c r="AP16" s="80"/>
      <c r="AQ16" s="68"/>
      <c r="AR16" s="70"/>
      <c r="AS16" s="70"/>
      <c r="AT16" s="66"/>
      <c r="AU16" s="67"/>
      <c r="AV16" s="80"/>
      <c r="AW16" s="68"/>
      <c r="AX16" s="70"/>
      <c r="AY16" s="70"/>
      <c r="AZ16" s="66"/>
      <c r="BA16" s="67"/>
      <c r="BB16" s="80"/>
    </row>
    <row r="17" spans="1:54" ht="12" x14ac:dyDescent="0.35">
      <c r="A17" s="63">
        <v>12</v>
      </c>
      <c r="B17" s="63" t="str">
        <f t="shared" si="45"/>
        <v xml:space="preserve"> </v>
      </c>
      <c r="C17" s="78"/>
      <c r="D17" s="79"/>
      <c r="E17" s="66"/>
      <c r="F17" s="67"/>
      <c r="G17" s="67"/>
      <c r="H17" s="68"/>
      <c r="I17" s="70"/>
      <c r="J17" s="70"/>
      <c r="K17" s="70"/>
      <c r="L17" s="70"/>
      <c r="M17" s="71"/>
      <c r="N17" s="66"/>
      <c r="O17" s="67"/>
      <c r="P17" s="67"/>
      <c r="Q17" s="68"/>
      <c r="R17" s="70"/>
      <c r="S17" s="70"/>
      <c r="T17" s="66"/>
      <c r="U17" s="67"/>
      <c r="V17" s="67"/>
      <c r="W17" s="68"/>
      <c r="X17" s="70"/>
      <c r="Y17" s="70"/>
      <c r="Z17" s="70"/>
      <c r="AA17" s="71"/>
      <c r="AB17" s="66"/>
      <c r="AC17" s="67"/>
      <c r="AD17" s="67"/>
      <c r="AE17" s="68"/>
      <c r="AF17" s="70"/>
      <c r="AG17" s="70"/>
      <c r="AH17" s="66"/>
      <c r="AI17" s="67"/>
      <c r="AJ17" s="80"/>
      <c r="AK17" s="68"/>
      <c r="AL17" s="70"/>
      <c r="AM17" s="70"/>
      <c r="AN17" s="66"/>
      <c r="AO17" s="67"/>
      <c r="AP17" s="80"/>
      <c r="AQ17" s="68"/>
      <c r="AR17" s="70"/>
      <c r="AS17" s="70"/>
      <c r="AT17" s="66"/>
      <c r="AU17" s="67"/>
      <c r="AV17" s="80"/>
      <c r="AW17" s="68"/>
      <c r="AX17" s="70"/>
      <c r="AY17" s="70"/>
      <c r="AZ17" s="66"/>
      <c r="BA17" s="67"/>
      <c r="BB17" s="80"/>
    </row>
    <row r="18" spans="1:54" ht="12" x14ac:dyDescent="0.35">
      <c r="A18" s="63">
        <v>13</v>
      </c>
      <c r="B18" s="63" t="str">
        <f t="shared" si="45"/>
        <v xml:space="preserve"> </v>
      </c>
      <c r="C18" s="78"/>
      <c r="D18" s="79"/>
      <c r="E18" s="66"/>
      <c r="F18" s="67"/>
      <c r="G18" s="67"/>
      <c r="H18" s="68"/>
      <c r="I18" s="70"/>
      <c r="J18" s="70"/>
      <c r="K18" s="70"/>
      <c r="L18" s="70"/>
      <c r="M18" s="71"/>
      <c r="N18" s="66"/>
      <c r="O18" s="67"/>
      <c r="P18" s="67"/>
      <c r="Q18" s="68"/>
      <c r="R18" s="70"/>
      <c r="S18" s="70"/>
      <c r="T18" s="66"/>
      <c r="U18" s="67"/>
      <c r="V18" s="67"/>
      <c r="W18" s="68"/>
      <c r="X18" s="70"/>
      <c r="Y18" s="70"/>
      <c r="Z18" s="70"/>
      <c r="AA18" s="71"/>
      <c r="AB18" s="66"/>
      <c r="AC18" s="67"/>
      <c r="AD18" s="67"/>
      <c r="AE18" s="68"/>
      <c r="AF18" s="70"/>
      <c r="AG18" s="70"/>
      <c r="AH18" s="66"/>
      <c r="AI18" s="67"/>
      <c r="AJ18" s="80"/>
      <c r="AK18" s="68"/>
      <c r="AL18" s="70"/>
      <c r="AM18" s="70"/>
      <c r="AN18" s="66"/>
      <c r="AO18" s="67"/>
      <c r="AP18" s="80"/>
      <c r="AQ18" s="68"/>
      <c r="AR18" s="70"/>
      <c r="AS18" s="70"/>
      <c r="AT18" s="66"/>
      <c r="AU18" s="67"/>
      <c r="AV18" s="80"/>
      <c r="AW18" s="68"/>
      <c r="AX18" s="70"/>
      <c r="AY18" s="70"/>
      <c r="AZ18" s="66"/>
      <c r="BA18" s="67"/>
      <c r="BB18" s="80"/>
    </row>
    <row r="19" spans="1:54" ht="12" x14ac:dyDescent="0.35">
      <c r="A19" s="63">
        <v>14</v>
      </c>
      <c r="B19" s="63" t="str">
        <f t="shared" si="45"/>
        <v xml:space="preserve"> </v>
      </c>
      <c r="C19" s="78"/>
      <c r="D19" s="79"/>
      <c r="E19" s="66"/>
      <c r="F19" s="67"/>
      <c r="G19" s="67"/>
      <c r="H19" s="68"/>
      <c r="I19" s="70"/>
      <c r="J19" s="70"/>
      <c r="K19" s="70"/>
      <c r="L19" s="70"/>
      <c r="M19" s="71"/>
      <c r="N19" s="66"/>
      <c r="O19" s="67"/>
      <c r="P19" s="67"/>
      <c r="Q19" s="68"/>
      <c r="R19" s="70"/>
      <c r="S19" s="70"/>
      <c r="T19" s="66"/>
      <c r="U19" s="67"/>
      <c r="V19" s="67"/>
      <c r="W19" s="68"/>
      <c r="X19" s="70"/>
      <c r="Y19" s="70"/>
      <c r="Z19" s="70"/>
      <c r="AA19" s="71"/>
      <c r="AB19" s="66"/>
      <c r="AC19" s="67"/>
      <c r="AD19" s="67"/>
      <c r="AE19" s="68"/>
      <c r="AF19" s="70"/>
      <c r="AG19" s="70"/>
      <c r="AH19" s="66"/>
      <c r="AI19" s="67"/>
      <c r="AJ19" s="80"/>
      <c r="AK19" s="68"/>
      <c r="AL19" s="70"/>
      <c r="AM19" s="70"/>
      <c r="AN19" s="66"/>
      <c r="AO19" s="67"/>
      <c r="AP19" s="80"/>
      <c r="AQ19" s="68"/>
      <c r="AR19" s="70"/>
      <c r="AS19" s="70"/>
      <c r="AT19" s="66"/>
      <c r="AU19" s="67"/>
      <c r="AV19" s="80"/>
      <c r="AW19" s="68"/>
      <c r="AX19" s="70"/>
      <c r="AY19" s="70"/>
      <c r="AZ19" s="66"/>
      <c r="BA19" s="67"/>
      <c r="BB19" s="80"/>
    </row>
    <row r="20" spans="1:54" ht="12" x14ac:dyDescent="0.35">
      <c r="A20" s="63">
        <v>15</v>
      </c>
      <c r="B20" s="63" t="str">
        <f t="shared" si="45"/>
        <v xml:space="preserve"> </v>
      </c>
      <c r="C20" s="78"/>
      <c r="D20" s="79"/>
      <c r="E20" s="66"/>
      <c r="F20" s="67"/>
      <c r="G20" s="67"/>
      <c r="H20" s="68"/>
      <c r="I20" s="70"/>
      <c r="J20" s="70"/>
      <c r="K20" s="70"/>
      <c r="L20" s="70"/>
      <c r="M20" s="71"/>
      <c r="N20" s="66"/>
      <c r="O20" s="67"/>
      <c r="P20" s="67"/>
      <c r="Q20" s="68"/>
      <c r="R20" s="70"/>
      <c r="S20" s="70"/>
      <c r="T20" s="66"/>
      <c r="U20" s="67"/>
      <c r="V20" s="67"/>
      <c r="W20" s="68"/>
      <c r="X20" s="70"/>
      <c r="Y20" s="70"/>
      <c r="Z20" s="70"/>
      <c r="AA20" s="71"/>
      <c r="AB20" s="66"/>
      <c r="AC20" s="67"/>
      <c r="AD20" s="67"/>
      <c r="AE20" s="68"/>
      <c r="AF20" s="70"/>
      <c r="AG20" s="70"/>
      <c r="AH20" s="66"/>
      <c r="AI20" s="67"/>
      <c r="AJ20" s="80"/>
      <c r="AK20" s="68"/>
      <c r="AL20" s="70"/>
      <c r="AM20" s="70"/>
      <c r="AN20" s="66"/>
      <c r="AO20" s="67"/>
      <c r="AP20" s="80"/>
      <c r="AQ20" s="68"/>
      <c r="AR20" s="70"/>
      <c r="AS20" s="70"/>
      <c r="AT20" s="66"/>
      <c r="AU20" s="67"/>
      <c r="AV20" s="80"/>
      <c r="AW20" s="68"/>
      <c r="AX20" s="70"/>
      <c r="AY20" s="70"/>
      <c r="AZ20" s="66"/>
      <c r="BA20" s="67"/>
      <c r="BB20" s="80"/>
    </row>
    <row r="21" spans="1:54" ht="12" x14ac:dyDescent="0.35">
      <c r="A21" s="63">
        <v>16</v>
      </c>
      <c r="B21" s="63" t="str">
        <f t="shared" si="45"/>
        <v xml:space="preserve"> </v>
      </c>
      <c r="C21" s="78"/>
      <c r="D21" s="79"/>
      <c r="E21" s="66"/>
      <c r="F21" s="67"/>
      <c r="G21" s="67"/>
      <c r="H21" s="68"/>
      <c r="I21" s="70"/>
      <c r="J21" s="70"/>
      <c r="K21" s="70"/>
      <c r="L21" s="70"/>
      <c r="M21" s="71"/>
      <c r="N21" s="66"/>
      <c r="O21" s="67"/>
      <c r="P21" s="67"/>
      <c r="Q21" s="68"/>
      <c r="R21" s="70"/>
      <c r="S21" s="70"/>
      <c r="T21" s="66"/>
      <c r="U21" s="67"/>
      <c r="V21" s="67"/>
      <c r="W21" s="68"/>
      <c r="X21" s="70"/>
      <c r="Y21" s="70"/>
      <c r="Z21" s="70"/>
      <c r="AA21" s="71"/>
      <c r="AB21" s="66"/>
      <c r="AC21" s="67"/>
      <c r="AD21" s="67"/>
      <c r="AE21" s="68"/>
      <c r="AF21" s="70"/>
      <c r="AG21" s="70"/>
      <c r="AH21" s="66"/>
      <c r="AI21" s="67"/>
      <c r="AJ21" s="80"/>
      <c r="AK21" s="68"/>
      <c r="AL21" s="70"/>
      <c r="AM21" s="70"/>
      <c r="AN21" s="66"/>
      <c r="AO21" s="67"/>
      <c r="AP21" s="80"/>
      <c r="AQ21" s="68"/>
      <c r="AR21" s="70"/>
      <c r="AS21" s="70"/>
      <c r="AT21" s="66"/>
      <c r="AU21" s="67"/>
      <c r="AV21" s="80"/>
      <c r="AW21" s="68"/>
      <c r="AX21" s="70"/>
      <c r="AY21" s="70"/>
      <c r="AZ21" s="66"/>
      <c r="BA21" s="67"/>
      <c r="BB21" s="80"/>
    </row>
    <row r="22" spans="1:54" ht="12" x14ac:dyDescent="0.35">
      <c r="A22" s="63">
        <v>17</v>
      </c>
      <c r="B22" s="63" t="str">
        <f t="shared" si="45"/>
        <v xml:space="preserve"> </v>
      </c>
      <c r="C22" s="78"/>
      <c r="D22" s="79"/>
      <c r="E22" s="66"/>
      <c r="F22" s="67"/>
      <c r="G22" s="67"/>
      <c r="H22" s="68"/>
      <c r="I22" s="70"/>
      <c r="J22" s="70"/>
      <c r="K22" s="70"/>
      <c r="L22" s="70"/>
      <c r="M22" s="71"/>
      <c r="N22" s="66"/>
      <c r="O22" s="67"/>
      <c r="P22" s="67"/>
      <c r="Q22" s="68"/>
      <c r="R22" s="70"/>
      <c r="S22" s="70"/>
      <c r="T22" s="66"/>
      <c r="U22" s="67"/>
      <c r="V22" s="67"/>
      <c r="W22" s="68"/>
      <c r="X22" s="70"/>
      <c r="Y22" s="70"/>
      <c r="Z22" s="70"/>
      <c r="AA22" s="71"/>
      <c r="AB22" s="66"/>
      <c r="AC22" s="67"/>
      <c r="AD22" s="67"/>
      <c r="AE22" s="68"/>
      <c r="AF22" s="70"/>
      <c r="AG22" s="70"/>
      <c r="AH22" s="66"/>
      <c r="AI22" s="67"/>
      <c r="AJ22" s="80"/>
      <c r="AK22" s="68"/>
      <c r="AL22" s="70"/>
      <c r="AM22" s="70"/>
      <c r="AN22" s="66"/>
      <c r="AO22" s="67"/>
      <c r="AP22" s="80"/>
      <c r="AQ22" s="68"/>
      <c r="AR22" s="70"/>
      <c r="AS22" s="70"/>
      <c r="AT22" s="66"/>
      <c r="AU22" s="67"/>
      <c r="AV22" s="80"/>
      <c r="AW22" s="68"/>
      <c r="AX22" s="70"/>
      <c r="AY22" s="70"/>
      <c r="AZ22" s="66"/>
      <c r="BA22" s="67"/>
      <c r="BB22" s="80"/>
    </row>
    <row r="23" spans="1:54" ht="12" x14ac:dyDescent="0.35">
      <c r="A23" s="63">
        <v>18</v>
      </c>
      <c r="B23" s="63" t="str">
        <f t="shared" si="45"/>
        <v xml:space="preserve"> </v>
      </c>
      <c r="C23" s="78"/>
      <c r="D23" s="79"/>
      <c r="E23" s="66"/>
      <c r="F23" s="67"/>
      <c r="G23" s="67"/>
      <c r="H23" s="68"/>
      <c r="I23" s="70"/>
      <c r="J23" s="70"/>
      <c r="K23" s="70"/>
      <c r="L23" s="70"/>
      <c r="M23" s="71"/>
      <c r="N23" s="66"/>
      <c r="O23" s="67"/>
      <c r="P23" s="67"/>
      <c r="Q23" s="68"/>
      <c r="R23" s="70"/>
      <c r="S23" s="70"/>
      <c r="T23" s="66"/>
      <c r="U23" s="67"/>
      <c r="V23" s="67"/>
      <c r="W23" s="68"/>
      <c r="X23" s="70"/>
      <c r="Y23" s="70"/>
      <c r="Z23" s="70"/>
      <c r="AA23" s="71"/>
      <c r="AB23" s="66"/>
      <c r="AC23" s="67"/>
      <c r="AD23" s="67"/>
      <c r="AE23" s="68"/>
      <c r="AF23" s="70"/>
      <c r="AG23" s="70"/>
      <c r="AH23" s="66"/>
      <c r="AI23" s="67"/>
      <c r="AJ23" s="80"/>
      <c r="AK23" s="68"/>
      <c r="AL23" s="70"/>
      <c r="AM23" s="70"/>
      <c r="AN23" s="66"/>
      <c r="AO23" s="67"/>
      <c r="AP23" s="80"/>
      <c r="AQ23" s="68"/>
      <c r="AR23" s="70"/>
      <c r="AS23" s="70"/>
      <c r="AT23" s="66"/>
      <c r="AU23" s="67"/>
      <c r="AV23" s="80"/>
      <c r="AW23" s="68"/>
      <c r="AX23" s="70"/>
      <c r="AY23" s="70"/>
      <c r="AZ23" s="66"/>
      <c r="BA23" s="67"/>
      <c r="BB23" s="80"/>
    </row>
    <row r="24" spans="1:54" ht="12" x14ac:dyDescent="0.35">
      <c r="A24" s="63">
        <v>19</v>
      </c>
      <c r="B24" s="63" t="str">
        <f t="shared" si="45"/>
        <v xml:space="preserve"> </v>
      </c>
      <c r="C24" s="78"/>
      <c r="D24" s="79"/>
      <c r="E24" s="66"/>
      <c r="F24" s="67"/>
      <c r="G24" s="67"/>
      <c r="H24" s="68"/>
      <c r="I24" s="70"/>
      <c r="J24" s="70"/>
      <c r="K24" s="70"/>
      <c r="L24" s="70"/>
      <c r="M24" s="71"/>
      <c r="N24" s="66"/>
      <c r="O24" s="67"/>
      <c r="P24" s="67"/>
      <c r="Q24" s="68"/>
      <c r="R24" s="70"/>
      <c r="S24" s="70"/>
      <c r="T24" s="66"/>
      <c r="U24" s="67"/>
      <c r="V24" s="67"/>
      <c r="W24" s="68"/>
      <c r="X24" s="70"/>
      <c r="Y24" s="70"/>
      <c r="Z24" s="70"/>
      <c r="AA24" s="71"/>
      <c r="AB24" s="66"/>
      <c r="AC24" s="67"/>
      <c r="AD24" s="67"/>
      <c r="AE24" s="68"/>
      <c r="AF24" s="70"/>
      <c r="AG24" s="70"/>
      <c r="AH24" s="66"/>
      <c r="AI24" s="67"/>
      <c r="AJ24" s="80"/>
      <c r="AK24" s="68"/>
      <c r="AL24" s="70"/>
      <c r="AM24" s="70"/>
      <c r="AN24" s="66"/>
      <c r="AO24" s="67"/>
      <c r="AP24" s="80"/>
      <c r="AQ24" s="68"/>
      <c r="AR24" s="70"/>
      <c r="AS24" s="70"/>
      <c r="AT24" s="66"/>
      <c r="AU24" s="67"/>
      <c r="AV24" s="80"/>
      <c r="AW24" s="68"/>
      <c r="AX24" s="70"/>
      <c r="AY24" s="70"/>
      <c r="AZ24" s="66"/>
      <c r="BA24" s="67"/>
      <c r="BB24" s="80"/>
    </row>
    <row r="25" spans="1:54" ht="12" x14ac:dyDescent="0.35">
      <c r="A25" s="63">
        <v>20</v>
      </c>
      <c r="B25" s="63" t="str">
        <f t="shared" si="45"/>
        <v xml:space="preserve"> </v>
      </c>
      <c r="C25" s="78"/>
      <c r="D25" s="79"/>
      <c r="E25" s="66"/>
      <c r="F25" s="67"/>
      <c r="G25" s="67"/>
      <c r="H25" s="68"/>
      <c r="I25" s="70"/>
      <c r="J25" s="70"/>
      <c r="K25" s="70"/>
      <c r="L25" s="70"/>
      <c r="M25" s="71"/>
      <c r="N25" s="66"/>
      <c r="O25" s="67"/>
      <c r="P25" s="67"/>
      <c r="Q25" s="68"/>
      <c r="R25" s="70"/>
      <c r="S25" s="70"/>
      <c r="T25" s="66"/>
      <c r="U25" s="67"/>
      <c r="V25" s="67"/>
      <c r="W25" s="68"/>
      <c r="X25" s="70"/>
      <c r="Y25" s="70"/>
      <c r="Z25" s="70"/>
      <c r="AA25" s="71"/>
      <c r="AB25" s="66"/>
      <c r="AC25" s="67"/>
      <c r="AD25" s="67"/>
      <c r="AE25" s="68"/>
      <c r="AF25" s="70"/>
      <c r="AG25" s="70"/>
      <c r="AH25" s="66"/>
      <c r="AI25" s="67"/>
      <c r="AJ25" s="80"/>
      <c r="AK25" s="68"/>
      <c r="AL25" s="70"/>
      <c r="AM25" s="70"/>
      <c r="AN25" s="66"/>
      <c r="AO25" s="67"/>
      <c r="AP25" s="80"/>
      <c r="AQ25" s="68"/>
      <c r="AR25" s="70"/>
      <c r="AS25" s="70"/>
      <c r="AT25" s="66"/>
      <c r="AU25" s="67"/>
      <c r="AV25" s="80"/>
      <c r="AW25" s="68"/>
      <c r="AX25" s="70"/>
      <c r="AY25" s="70"/>
      <c r="AZ25" s="66"/>
      <c r="BA25" s="67"/>
      <c r="BB25" s="80"/>
    </row>
    <row r="26" spans="1:54" ht="12" x14ac:dyDescent="0.35">
      <c r="A26" s="63">
        <v>21</v>
      </c>
      <c r="B26" s="63" t="str">
        <f t="shared" si="45"/>
        <v xml:space="preserve"> </v>
      </c>
      <c r="C26" s="78"/>
      <c r="D26" s="79"/>
      <c r="E26" s="66"/>
      <c r="F26" s="67"/>
      <c r="G26" s="67"/>
      <c r="H26" s="68"/>
      <c r="I26" s="70"/>
      <c r="J26" s="70"/>
      <c r="K26" s="70"/>
      <c r="L26" s="70"/>
      <c r="M26" s="71"/>
      <c r="N26" s="66"/>
      <c r="O26" s="67"/>
      <c r="P26" s="67"/>
      <c r="Q26" s="68"/>
      <c r="R26" s="70"/>
      <c r="S26" s="70"/>
      <c r="T26" s="66"/>
      <c r="U26" s="67"/>
      <c r="V26" s="67"/>
      <c r="W26" s="68"/>
      <c r="X26" s="70"/>
      <c r="Y26" s="70"/>
      <c r="Z26" s="70"/>
      <c r="AA26" s="71"/>
      <c r="AB26" s="66"/>
      <c r="AC26" s="67"/>
      <c r="AD26" s="67"/>
      <c r="AE26" s="68"/>
      <c r="AF26" s="70"/>
      <c r="AG26" s="70"/>
      <c r="AH26" s="66"/>
      <c r="AI26" s="67"/>
      <c r="AJ26" s="80"/>
      <c r="AK26" s="68"/>
      <c r="AL26" s="70"/>
      <c r="AM26" s="70"/>
      <c r="AN26" s="66"/>
      <c r="AO26" s="67"/>
      <c r="AP26" s="80"/>
      <c r="AQ26" s="68"/>
      <c r="AR26" s="70"/>
      <c r="AS26" s="70"/>
      <c r="AT26" s="66"/>
      <c r="AU26" s="67"/>
      <c r="AV26" s="80"/>
      <c r="AW26" s="68"/>
      <c r="AX26" s="70"/>
      <c r="AY26" s="70"/>
      <c r="AZ26" s="66"/>
      <c r="BA26" s="67"/>
      <c r="BB26" s="80"/>
    </row>
    <row r="27" spans="1:54" ht="12" x14ac:dyDescent="0.35">
      <c r="A27" s="63">
        <v>22</v>
      </c>
      <c r="B27" s="63" t="str">
        <f t="shared" si="45"/>
        <v xml:space="preserve"> </v>
      </c>
      <c r="C27" s="78"/>
      <c r="D27" s="79"/>
      <c r="E27" s="66"/>
      <c r="F27" s="67"/>
      <c r="G27" s="67"/>
      <c r="H27" s="68"/>
      <c r="I27" s="70"/>
      <c r="J27" s="70"/>
      <c r="K27" s="70"/>
      <c r="L27" s="70"/>
      <c r="M27" s="71"/>
      <c r="N27" s="66"/>
      <c r="O27" s="67"/>
      <c r="P27" s="67"/>
      <c r="Q27" s="68"/>
      <c r="R27" s="70"/>
      <c r="S27" s="70"/>
      <c r="T27" s="66"/>
      <c r="U27" s="67"/>
      <c r="V27" s="67"/>
      <c r="W27" s="68"/>
      <c r="X27" s="70"/>
      <c r="Y27" s="70"/>
      <c r="Z27" s="70"/>
      <c r="AA27" s="71"/>
      <c r="AB27" s="66"/>
      <c r="AC27" s="67"/>
      <c r="AD27" s="67"/>
      <c r="AE27" s="68"/>
      <c r="AF27" s="70"/>
      <c r="AG27" s="70"/>
      <c r="AH27" s="66"/>
      <c r="AI27" s="67"/>
      <c r="AJ27" s="80"/>
      <c r="AK27" s="68"/>
      <c r="AL27" s="70"/>
      <c r="AM27" s="70"/>
      <c r="AN27" s="66"/>
      <c r="AO27" s="67"/>
      <c r="AP27" s="80"/>
      <c r="AQ27" s="68"/>
      <c r="AR27" s="70"/>
      <c r="AS27" s="70"/>
      <c r="AT27" s="66"/>
      <c r="AU27" s="67"/>
      <c r="AV27" s="80"/>
      <c r="AW27" s="68"/>
      <c r="AX27" s="70"/>
      <c r="AY27" s="70"/>
      <c r="AZ27" s="66"/>
      <c r="BA27" s="67"/>
      <c r="BB27" s="80"/>
    </row>
    <row r="28" spans="1:54" ht="12" x14ac:dyDescent="0.35">
      <c r="A28" s="63">
        <v>23</v>
      </c>
      <c r="B28" s="63" t="str">
        <f t="shared" si="45"/>
        <v xml:space="preserve"> </v>
      </c>
      <c r="C28" s="78"/>
      <c r="D28" s="79"/>
      <c r="E28" s="66"/>
      <c r="F28" s="67"/>
      <c r="G28" s="67"/>
      <c r="H28" s="68"/>
      <c r="I28" s="70"/>
      <c r="J28" s="70"/>
      <c r="K28" s="70"/>
      <c r="L28" s="70"/>
      <c r="M28" s="71"/>
      <c r="N28" s="66"/>
      <c r="O28" s="67"/>
      <c r="P28" s="67"/>
      <c r="Q28" s="68"/>
      <c r="R28" s="70"/>
      <c r="S28" s="70"/>
      <c r="T28" s="66"/>
      <c r="U28" s="67"/>
      <c r="V28" s="67"/>
      <c r="W28" s="68"/>
      <c r="X28" s="70"/>
      <c r="Y28" s="70"/>
      <c r="Z28" s="70"/>
      <c r="AA28" s="71"/>
      <c r="AB28" s="66"/>
      <c r="AC28" s="67"/>
      <c r="AD28" s="67"/>
      <c r="AE28" s="68"/>
      <c r="AF28" s="70"/>
      <c r="AG28" s="70"/>
      <c r="AH28" s="66"/>
      <c r="AI28" s="67"/>
      <c r="AJ28" s="80"/>
      <c r="AK28" s="68"/>
      <c r="AL28" s="70"/>
      <c r="AM28" s="70"/>
      <c r="AN28" s="66"/>
      <c r="AO28" s="67"/>
      <c r="AP28" s="80"/>
      <c r="AQ28" s="68"/>
      <c r="AR28" s="70"/>
      <c r="AS28" s="70"/>
      <c r="AT28" s="66"/>
      <c r="AU28" s="67"/>
      <c r="AV28" s="80"/>
      <c r="AW28" s="68"/>
      <c r="AX28" s="70"/>
      <c r="AY28" s="70"/>
      <c r="AZ28" s="66"/>
      <c r="BA28" s="67"/>
      <c r="BB28" s="80"/>
    </row>
    <row r="29" spans="1:54" ht="12" x14ac:dyDescent="0.35">
      <c r="A29" s="63">
        <v>24</v>
      </c>
      <c r="B29" s="63" t="str">
        <f t="shared" si="45"/>
        <v xml:space="preserve"> </v>
      </c>
      <c r="C29" s="78"/>
      <c r="D29" s="79"/>
      <c r="E29" s="66"/>
      <c r="F29" s="67"/>
      <c r="G29" s="67"/>
      <c r="H29" s="68"/>
      <c r="I29" s="70"/>
      <c r="J29" s="70"/>
      <c r="K29" s="70"/>
      <c r="L29" s="70"/>
      <c r="M29" s="71"/>
      <c r="N29" s="66"/>
      <c r="O29" s="67"/>
      <c r="P29" s="67"/>
      <c r="Q29" s="68"/>
      <c r="R29" s="70"/>
      <c r="S29" s="70"/>
      <c r="T29" s="66"/>
      <c r="U29" s="67"/>
      <c r="V29" s="67"/>
      <c r="W29" s="68"/>
      <c r="X29" s="70"/>
      <c r="Y29" s="70"/>
      <c r="Z29" s="70"/>
      <c r="AA29" s="71"/>
      <c r="AB29" s="66"/>
      <c r="AC29" s="67"/>
      <c r="AD29" s="67"/>
      <c r="AE29" s="68"/>
      <c r="AF29" s="70"/>
      <c r="AG29" s="70"/>
      <c r="AH29" s="66"/>
      <c r="AI29" s="67"/>
      <c r="AJ29" s="80"/>
      <c r="AK29" s="68"/>
      <c r="AL29" s="70"/>
      <c r="AM29" s="70"/>
      <c r="AN29" s="66"/>
      <c r="AO29" s="67"/>
      <c r="AP29" s="80"/>
      <c r="AQ29" s="68"/>
      <c r="AR29" s="70"/>
      <c r="AS29" s="70"/>
      <c r="AT29" s="66"/>
      <c r="AU29" s="67"/>
      <c r="AV29" s="80"/>
      <c r="AW29" s="68"/>
      <c r="AX29" s="70"/>
      <c r="AY29" s="70"/>
      <c r="AZ29" s="66"/>
      <c r="BA29" s="67"/>
      <c r="BB29" s="80"/>
    </row>
    <row r="30" spans="1:54" ht="12" x14ac:dyDescent="0.35">
      <c r="A30" s="63">
        <v>25</v>
      </c>
      <c r="B30" s="63" t="str">
        <f t="shared" si="45"/>
        <v xml:space="preserve"> </v>
      </c>
      <c r="C30" s="78"/>
      <c r="D30" s="79"/>
      <c r="E30" s="66"/>
      <c r="F30" s="67"/>
      <c r="G30" s="67"/>
      <c r="H30" s="68"/>
      <c r="I30" s="70"/>
      <c r="J30" s="70"/>
      <c r="K30" s="70"/>
      <c r="L30" s="70"/>
      <c r="M30" s="71"/>
      <c r="N30" s="66"/>
      <c r="O30" s="67"/>
      <c r="P30" s="67"/>
      <c r="Q30" s="68"/>
      <c r="R30" s="70"/>
      <c r="S30" s="70"/>
      <c r="T30" s="66"/>
      <c r="U30" s="67"/>
      <c r="V30" s="67"/>
      <c r="W30" s="68"/>
      <c r="X30" s="70"/>
      <c r="Y30" s="70"/>
      <c r="Z30" s="70"/>
      <c r="AA30" s="71"/>
      <c r="AB30" s="66"/>
      <c r="AC30" s="67"/>
      <c r="AD30" s="67"/>
      <c r="AE30" s="68"/>
      <c r="AF30" s="70"/>
      <c r="AG30" s="70"/>
      <c r="AH30" s="66"/>
      <c r="AI30" s="67"/>
      <c r="AJ30" s="80"/>
      <c r="AK30" s="68"/>
      <c r="AL30" s="70"/>
      <c r="AM30" s="70"/>
      <c r="AN30" s="66"/>
      <c r="AO30" s="67"/>
      <c r="AP30" s="80"/>
      <c r="AQ30" s="68"/>
      <c r="AR30" s="70"/>
      <c r="AS30" s="70"/>
      <c r="AT30" s="66"/>
      <c r="AU30" s="67"/>
      <c r="AV30" s="80"/>
      <c r="AW30" s="68"/>
      <c r="AX30" s="70"/>
      <c r="AY30" s="70"/>
      <c r="AZ30" s="66"/>
      <c r="BA30" s="67"/>
      <c r="BB30" s="80"/>
    </row>
    <row r="31" spans="1:54" ht="12" x14ac:dyDescent="0.35">
      <c r="A31" s="63">
        <v>26</v>
      </c>
      <c r="B31" s="63" t="str">
        <f t="shared" si="45"/>
        <v xml:space="preserve"> </v>
      </c>
      <c r="C31" s="78"/>
      <c r="D31" s="79"/>
      <c r="E31" s="66"/>
      <c r="F31" s="67"/>
      <c r="G31" s="67"/>
      <c r="H31" s="68"/>
      <c r="I31" s="70"/>
      <c r="J31" s="70"/>
      <c r="K31" s="70"/>
      <c r="L31" s="70"/>
      <c r="M31" s="71"/>
      <c r="N31" s="66"/>
      <c r="O31" s="67"/>
      <c r="P31" s="67"/>
      <c r="Q31" s="68"/>
      <c r="R31" s="70"/>
      <c r="S31" s="70"/>
      <c r="T31" s="66"/>
      <c r="U31" s="67"/>
      <c r="V31" s="67"/>
      <c r="W31" s="68"/>
      <c r="X31" s="70"/>
      <c r="Y31" s="70"/>
      <c r="Z31" s="70"/>
      <c r="AA31" s="71"/>
      <c r="AB31" s="66"/>
      <c r="AC31" s="67"/>
      <c r="AD31" s="67"/>
      <c r="AE31" s="68"/>
      <c r="AF31" s="70"/>
      <c r="AG31" s="70"/>
      <c r="AH31" s="66"/>
      <c r="AI31" s="67"/>
      <c r="AJ31" s="80"/>
      <c r="AK31" s="68"/>
      <c r="AL31" s="70"/>
      <c r="AM31" s="70"/>
      <c r="AN31" s="66"/>
      <c r="AO31" s="67"/>
      <c r="AP31" s="80"/>
      <c r="AQ31" s="68"/>
      <c r="AR31" s="70"/>
      <c r="AS31" s="70"/>
      <c r="AT31" s="66"/>
      <c r="AU31" s="67"/>
      <c r="AV31" s="80"/>
      <c r="AW31" s="68"/>
      <c r="AX31" s="70"/>
      <c r="AY31" s="70"/>
      <c r="AZ31" s="66"/>
      <c r="BA31" s="67"/>
      <c r="BB31" s="80"/>
    </row>
    <row r="32" spans="1:54" ht="12" x14ac:dyDescent="0.35">
      <c r="A32" s="63">
        <v>27</v>
      </c>
      <c r="B32" s="63" t="str">
        <f t="shared" si="45"/>
        <v xml:space="preserve"> </v>
      </c>
      <c r="C32" s="78"/>
      <c r="D32" s="79"/>
      <c r="E32" s="66"/>
      <c r="F32" s="67"/>
      <c r="G32" s="67"/>
      <c r="H32" s="68"/>
      <c r="I32" s="70"/>
      <c r="J32" s="70"/>
      <c r="K32" s="70"/>
      <c r="L32" s="70"/>
      <c r="M32" s="71"/>
      <c r="N32" s="66"/>
      <c r="O32" s="67"/>
      <c r="P32" s="67"/>
      <c r="Q32" s="68"/>
      <c r="R32" s="70"/>
      <c r="S32" s="70"/>
      <c r="T32" s="66"/>
      <c r="U32" s="67"/>
      <c r="V32" s="67"/>
      <c r="W32" s="68"/>
      <c r="X32" s="70"/>
      <c r="Y32" s="70"/>
      <c r="Z32" s="70"/>
      <c r="AA32" s="71"/>
      <c r="AB32" s="66"/>
      <c r="AC32" s="67"/>
      <c r="AD32" s="67"/>
      <c r="AE32" s="68"/>
      <c r="AF32" s="70"/>
      <c r="AG32" s="70"/>
      <c r="AH32" s="66"/>
      <c r="AI32" s="67"/>
      <c r="AJ32" s="80"/>
      <c r="AK32" s="68"/>
      <c r="AL32" s="70"/>
      <c r="AM32" s="70"/>
      <c r="AN32" s="66"/>
      <c r="AO32" s="67"/>
      <c r="AP32" s="80"/>
      <c r="AQ32" s="68"/>
      <c r="AR32" s="70"/>
      <c r="AS32" s="70"/>
      <c r="AT32" s="66"/>
      <c r="AU32" s="67"/>
      <c r="AV32" s="80"/>
      <c r="AW32" s="68"/>
      <c r="AX32" s="70"/>
      <c r="AY32" s="70"/>
      <c r="AZ32" s="66"/>
      <c r="BA32" s="67"/>
      <c r="BB32" s="80"/>
    </row>
    <row r="33" spans="1:54" ht="12" x14ac:dyDescent="0.35">
      <c r="A33" s="63">
        <v>28</v>
      </c>
      <c r="B33" s="63" t="str">
        <f t="shared" si="45"/>
        <v xml:space="preserve"> </v>
      </c>
      <c r="C33" s="78"/>
      <c r="D33" s="79"/>
      <c r="E33" s="66"/>
      <c r="F33" s="67"/>
      <c r="G33" s="67"/>
      <c r="H33" s="68"/>
      <c r="I33" s="70"/>
      <c r="J33" s="70"/>
      <c r="K33" s="70"/>
      <c r="L33" s="70"/>
      <c r="M33" s="71"/>
      <c r="N33" s="66"/>
      <c r="O33" s="67"/>
      <c r="P33" s="67"/>
      <c r="Q33" s="68"/>
      <c r="R33" s="70"/>
      <c r="S33" s="70"/>
      <c r="T33" s="66"/>
      <c r="U33" s="67"/>
      <c r="V33" s="67"/>
      <c r="W33" s="68"/>
      <c r="X33" s="70"/>
      <c r="Y33" s="70"/>
      <c r="Z33" s="70"/>
      <c r="AA33" s="71"/>
      <c r="AB33" s="66"/>
      <c r="AC33" s="67"/>
      <c r="AD33" s="67"/>
      <c r="AE33" s="68"/>
      <c r="AF33" s="70"/>
      <c r="AG33" s="70"/>
      <c r="AH33" s="66"/>
      <c r="AI33" s="67"/>
      <c r="AJ33" s="80"/>
      <c r="AK33" s="68"/>
      <c r="AL33" s="70"/>
      <c r="AM33" s="70"/>
      <c r="AN33" s="66"/>
      <c r="AO33" s="67"/>
      <c r="AP33" s="80"/>
      <c r="AQ33" s="68"/>
      <c r="AR33" s="70"/>
      <c r="AS33" s="70"/>
      <c r="AT33" s="66"/>
      <c r="AU33" s="67"/>
      <c r="AV33" s="80"/>
      <c r="AW33" s="68"/>
      <c r="AX33" s="70"/>
      <c r="AY33" s="70"/>
      <c r="AZ33" s="66"/>
      <c r="BA33" s="67"/>
      <c r="BB33" s="80"/>
    </row>
    <row r="34" spans="1:54" ht="12" x14ac:dyDescent="0.35">
      <c r="A34" s="63">
        <v>29</v>
      </c>
      <c r="B34" s="63" t="str">
        <f t="shared" si="45"/>
        <v xml:space="preserve"> </v>
      </c>
      <c r="C34" s="78"/>
      <c r="D34" s="79"/>
      <c r="E34" s="66"/>
      <c r="F34" s="67"/>
      <c r="G34" s="67"/>
      <c r="H34" s="68"/>
      <c r="I34" s="70"/>
      <c r="J34" s="70"/>
      <c r="K34" s="70"/>
      <c r="L34" s="70"/>
      <c r="M34" s="71"/>
      <c r="N34" s="66"/>
      <c r="O34" s="67"/>
      <c r="P34" s="67"/>
      <c r="Q34" s="68"/>
      <c r="R34" s="70"/>
      <c r="S34" s="70"/>
      <c r="T34" s="66"/>
      <c r="U34" s="67"/>
      <c r="V34" s="67"/>
      <c r="W34" s="68"/>
      <c r="X34" s="70"/>
      <c r="Y34" s="70"/>
      <c r="Z34" s="70"/>
      <c r="AA34" s="71"/>
      <c r="AB34" s="66"/>
      <c r="AC34" s="67"/>
      <c r="AD34" s="67"/>
      <c r="AE34" s="68"/>
      <c r="AF34" s="70"/>
      <c r="AG34" s="70"/>
      <c r="AH34" s="66"/>
      <c r="AI34" s="67"/>
      <c r="AJ34" s="80"/>
      <c r="AK34" s="68"/>
      <c r="AL34" s="70"/>
      <c r="AM34" s="70"/>
      <c r="AN34" s="66"/>
      <c r="AO34" s="67"/>
      <c r="AP34" s="80"/>
      <c r="AQ34" s="68"/>
      <c r="AR34" s="70"/>
      <c r="AS34" s="70"/>
      <c r="AT34" s="66"/>
      <c r="AU34" s="67"/>
      <c r="AV34" s="80"/>
      <c r="AW34" s="68"/>
      <c r="AX34" s="70"/>
      <c r="AY34" s="70"/>
      <c r="AZ34" s="66"/>
      <c r="BA34" s="67"/>
      <c r="BB34" s="80"/>
    </row>
    <row r="35" spans="1:54" ht="12" x14ac:dyDescent="0.35">
      <c r="A35" s="63">
        <v>30</v>
      </c>
      <c r="B35" s="63" t="str">
        <f t="shared" si="45"/>
        <v xml:space="preserve"> </v>
      </c>
      <c r="C35" s="78"/>
      <c r="D35" s="79"/>
      <c r="E35" s="66"/>
      <c r="F35" s="67"/>
      <c r="G35" s="67"/>
      <c r="H35" s="68"/>
      <c r="I35" s="70"/>
      <c r="J35" s="70"/>
      <c r="K35" s="70"/>
      <c r="L35" s="70"/>
      <c r="M35" s="71"/>
      <c r="N35" s="66"/>
      <c r="O35" s="67"/>
      <c r="P35" s="67"/>
      <c r="Q35" s="68"/>
      <c r="R35" s="70"/>
      <c r="S35" s="70"/>
      <c r="T35" s="66"/>
      <c r="U35" s="67"/>
      <c r="V35" s="67"/>
      <c r="W35" s="68"/>
      <c r="X35" s="70"/>
      <c r="Y35" s="70"/>
      <c r="Z35" s="70"/>
      <c r="AA35" s="71"/>
      <c r="AB35" s="66"/>
      <c r="AC35" s="67"/>
      <c r="AD35" s="67"/>
      <c r="AE35" s="68"/>
      <c r="AF35" s="70"/>
      <c r="AG35" s="70"/>
      <c r="AH35" s="66"/>
      <c r="AI35" s="67"/>
      <c r="AJ35" s="80"/>
      <c r="AK35" s="68"/>
      <c r="AL35" s="70"/>
      <c r="AM35" s="70"/>
      <c r="AN35" s="66"/>
      <c r="AO35" s="67"/>
      <c r="AP35" s="80"/>
      <c r="AQ35" s="68"/>
      <c r="AR35" s="70"/>
      <c r="AS35" s="70"/>
      <c r="AT35" s="66"/>
      <c r="AU35" s="67"/>
      <c r="AV35" s="80"/>
      <c r="AW35" s="68"/>
      <c r="AX35" s="70"/>
      <c r="AY35" s="70"/>
      <c r="AZ35" s="66"/>
      <c r="BA35" s="67"/>
      <c r="BB35" s="80"/>
    </row>
    <row r="36" spans="1:54" ht="12" x14ac:dyDescent="0.35">
      <c r="A36" s="63">
        <v>31</v>
      </c>
      <c r="B36" s="63" t="str">
        <f t="shared" si="45"/>
        <v xml:space="preserve"> </v>
      </c>
      <c r="C36" s="78"/>
      <c r="D36" s="79"/>
      <c r="E36" s="66"/>
      <c r="F36" s="67"/>
      <c r="G36" s="67"/>
      <c r="H36" s="68"/>
      <c r="I36" s="70"/>
      <c r="J36" s="70"/>
      <c r="K36" s="70"/>
      <c r="L36" s="70"/>
      <c r="M36" s="71"/>
      <c r="N36" s="66"/>
      <c r="O36" s="67"/>
      <c r="P36" s="67"/>
      <c r="Q36" s="68"/>
      <c r="R36" s="70"/>
      <c r="S36" s="70"/>
      <c r="T36" s="66"/>
      <c r="U36" s="67"/>
      <c r="V36" s="67"/>
      <c r="W36" s="68"/>
      <c r="X36" s="70"/>
      <c r="Y36" s="70"/>
      <c r="Z36" s="70"/>
      <c r="AA36" s="71"/>
      <c r="AB36" s="66"/>
      <c r="AC36" s="67"/>
      <c r="AD36" s="67"/>
      <c r="AE36" s="68"/>
      <c r="AF36" s="70"/>
      <c r="AG36" s="70"/>
      <c r="AH36" s="66"/>
      <c r="AI36" s="67"/>
      <c r="AJ36" s="80"/>
      <c r="AK36" s="68"/>
      <c r="AL36" s="70"/>
      <c r="AM36" s="70"/>
      <c r="AN36" s="66"/>
      <c r="AO36" s="67"/>
      <c r="AP36" s="80"/>
      <c r="AQ36" s="68"/>
      <c r="AR36" s="70"/>
      <c r="AS36" s="70"/>
      <c r="AT36" s="66"/>
      <c r="AU36" s="67"/>
      <c r="AV36" s="80"/>
      <c r="AW36" s="68"/>
      <c r="AX36" s="70"/>
      <c r="AY36" s="70"/>
      <c r="AZ36" s="66"/>
      <c r="BA36" s="67"/>
      <c r="BB36" s="80"/>
    </row>
    <row r="37" spans="1:54" ht="12" x14ac:dyDescent="0.35">
      <c r="A37" s="63">
        <v>32</v>
      </c>
      <c r="B37" s="63" t="str">
        <f t="shared" si="45"/>
        <v xml:space="preserve"> </v>
      </c>
      <c r="C37" s="78"/>
      <c r="D37" s="79"/>
      <c r="E37" s="66"/>
      <c r="F37" s="67"/>
      <c r="G37" s="67"/>
      <c r="H37" s="68"/>
      <c r="I37" s="70"/>
      <c r="J37" s="70"/>
      <c r="K37" s="70"/>
      <c r="L37" s="70"/>
      <c r="M37" s="71"/>
      <c r="N37" s="66"/>
      <c r="O37" s="67"/>
      <c r="P37" s="67"/>
      <c r="Q37" s="68"/>
      <c r="R37" s="70"/>
      <c r="S37" s="70"/>
      <c r="T37" s="66"/>
      <c r="U37" s="67"/>
      <c r="V37" s="67"/>
      <c r="W37" s="68"/>
      <c r="X37" s="70"/>
      <c r="Y37" s="70"/>
      <c r="Z37" s="70"/>
      <c r="AA37" s="71"/>
      <c r="AB37" s="66"/>
      <c r="AC37" s="67"/>
      <c r="AD37" s="67"/>
      <c r="AE37" s="68"/>
      <c r="AF37" s="70"/>
      <c r="AG37" s="70"/>
      <c r="AH37" s="66"/>
      <c r="AI37" s="67"/>
      <c r="AJ37" s="80"/>
      <c r="AK37" s="68"/>
      <c r="AL37" s="70"/>
      <c r="AM37" s="70"/>
      <c r="AN37" s="66"/>
      <c r="AO37" s="67"/>
      <c r="AP37" s="80"/>
      <c r="AQ37" s="68"/>
      <c r="AR37" s="70"/>
      <c r="AS37" s="70"/>
      <c r="AT37" s="66"/>
      <c r="AU37" s="67"/>
      <c r="AV37" s="80"/>
      <c r="AW37" s="68"/>
      <c r="AX37" s="70"/>
      <c r="AY37" s="70"/>
      <c r="AZ37" s="66"/>
      <c r="BA37" s="67"/>
      <c r="BB37" s="80"/>
    </row>
    <row r="38" spans="1:54" ht="12" x14ac:dyDescent="0.35">
      <c r="A38" s="63">
        <v>33</v>
      </c>
      <c r="B38" s="63" t="str">
        <f t="shared" si="45"/>
        <v xml:space="preserve"> </v>
      </c>
      <c r="C38" s="78"/>
      <c r="D38" s="79"/>
      <c r="E38" s="66"/>
      <c r="F38" s="67"/>
      <c r="G38" s="67"/>
      <c r="H38" s="68"/>
      <c r="I38" s="70"/>
      <c r="J38" s="70"/>
      <c r="K38" s="70"/>
      <c r="L38" s="70"/>
      <c r="M38" s="71"/>
      <c r="N38" s="66"/>
      <c r="O38" s="67"/>
      <c r="P38" s="67"/>
      <c r="Q38" s="68"/>
      <c r="R38" s="70"/>
      <c r="S38" s="70"/>
      <c r="T38" s="66"/>
      <c r="U38" s="67"/>
      <c r="V38" s="67"/>
      <c r="W38" s="68"/>
      <c r="X38" s="70"/>
      <c r="Y38" s="70"/>
      <c r="Z38" s="70"/>
      <c r="AA38" s="71"/>
      <c r="AB38" s="66"/>
      <c r="AC38" s="67"/>
      <c r="AD38" s="67"/>
      <c r="AE38" s="68"/>
      <c r="AF38" s="70"/>
      <c r="AG38" s="70"/>
      <c r="AH38" s="66"/>
      <c r="AI38" s="67"/>
      <c r="AJ38" s="80"/>
      <c r="AK38" s="68"/>
      <c r="AL38" s="70"/>
      <c r="AM38" s="70"/>
      <c r="AN38" s="66"/>
      <c r="AO38" s="67"/>
      <c r="AP38" s="80"/>
      <c r="AQ38" s="68"/>
      <c r="AR38" s="70"/>
      <c r="AS38" s="70"/>
      <c r="AT38" s="66"/>
      <c r="AU38" s="67"/>
      <c r="AV38" s="80"/>
      <c r="AW38" s="68"/>
      <c r="AX38" s="70"/>
      <c r="AY38" s="70"/>
      <c r="AZ38" s="66"/>
      <c r="BA38" s="67"/>
      <c r="BB38" s="80"/>
    </row>
    <row r="39" spans="1:54" ht="12" x14ac:dyDescent="0.35">
      <c r="A39" s="63">
        <v>34</v>
      </c>
      <c r="B39" s="63" t="str">
        <f t="shared" si="45"/>
        <v xml:space="preserve"> </v>
      </c>
      <c r="C39" s="78"/>
      <c r="D39" s="79"/>
      <c r="E39" s="66"/>
      <c r="F39" s="67"/>
      <c r="G39" s="67"/>
      <c r="H39" s="68"/>
      <c r="I39" s="70"/>
      <c r="J39" s="70"/>
      <c r="K39" s="70"/>
      <c r="L39" s="70"/>
      <c r="M39" s="71"/>
      <c r="N39" s="66"/>
      <c r="O39" s="67"/>
      <c r="P39" s="67"/>
      <c r="Q39" s="68"/>
      <c r="R39" s="70"/>
      <c r="S39" s="70"/>
      <c r="T39" s="66"/>
      <c r="U39" s="67"/>
      <c r="V39" s="67"/>
      <c r="W39" s="68"/>
      <c r="X39" s="70"/>
      <c r="Y39" s="70"/>
      <c r="Z39" s="70"/>
      <c r="AA39" s="71"/>
      <c r="AB39" s="66"/>
      <c r="AC39" s="67"/>
      <c r="AD39" s="67"/>
      <c r="AE39" s="68"/>
      <c r="AF39" s="70"/>
      <c r="AG39" s="70"/>
      <c r="AH39" s="66"/>
      <c r="AI39" s="67"/>
      <c r="AJ39" s="80"/>
      <c r="AK39" s="68"/>
      <c r="AL39" s="70"/>
      <c r="AM39" s="70"/>
      <c r="AN39" s="66"/>
      <c r="AO39" s="67"/>
      <c r="AP39" s="80"/>
      <c r="AQ39" s="68"/>
      <c r="AR39" s="70"/>
      <c r="AS39" s="70"/>
      <c r="AT39" s="66"/>
      <c r="AU39" s="67"/>
      <c r="AV39" s="80"/>
      <c r="AW39" s="68"/>
      <c r="AX39" s="70"/>
      <c r="AY39" s="70"/>
      <c r="AZ39" s="66"/>
      <c r="BA39" s="67"/>
      <c r="BB39" s="80"/>
    </row>
    <row r="40" spans="1:54" ht="12" x14ac:dyDescent="0.35">
      <c r="A40" s="63">
        <v>35</v>
      </c>
      <c r="B40" s="63" t="str">
        <f t="shared" si="45"/>
        <v xml:space="preserve"> </v>
      </c>
      <c r="C40" s="78"/>
      <c r="D40" s="79"/>
      <c r="E40" s="66"/>
      <c r="F40" s="67"/>
      <c r="G40" s="67"/>
      <c r="H40" s="68"/>
      <c r="I40" s="70"/>
      <c r="J40" s="70"/>
      <c r="K40" s="70"/>
      <c r="L40" s="70"/>
      <c r="M40" s="71"/>
      <c r="N40" s="66"/>
      <c r="O40" s="67"/>
      <c r="P40" s="67"/>
      <c r="Q40" s="68"/>
      <c r="R40" s="70"/>
      <c r="S40" s="70"/>
      <c r="T40" s="66"/>
      <c r="U40" s="67"/>
      <c r="V40" s="67"/>
      <c r="W40" s="68"/>
      <c r="X40" s="70"/>
      <c r="Y40" s="70"/>
      <c r="Z40" s="70"/>
      <c r="AA40" s="71"/>
      <c r="AB40" s="66"/>
      <c r="AC40" s="67"/>
      <c r="AD40" s="67"/>
      <c r="AE40" s="68"/>
      <c r="AF40" s="70"/>
      <c r="AG40" s="70"/>
      <c r="AH40" s="66"/>
      <c r="AI40" s="67"/>
      <c r="AJ40" s="80"/>
      <c r="AK40" s="68"/>
      <c r="AL40" s="70"/>
      <c r="AM40" s="70"/>
      <c r="AN40" s="66"/>
      <c r="AO40" s="67"/>
      <c r="AP40" s="80"/>
      <c r="AQ40" s="68"/>
      <c r="AR40" s="70"/>
      <c r="AS40" s="70"/>
      <c r="AT40" s="66"/>
      <c r="AU40" s="67"/>
      <c r="AV40" s="80"/>
      <c r="AW40" s="68"/>
      <c r="AX40" s="70"/>
      <c r="AY40" s="70"/>
      <c r="AZ40" s="66"/>
      <c r="BA40" s="67"/>
      <c r="BB40" s="80"/>
    </row>
    <row r="41" spans="1:54" ht="12" x14ac:dyDescent="0.35">
      <c r="A41" s="63">
        <v>36</v>
      </c>
      <c r="B41" s="63" t="str">
        <f t="shared" si="45"/>
        <v xml:space="preserve"> </v>
      </c>
      <c r="C41" s="78"/>
      <c r="D41" s="79"/>
      <c r="E41" s="66"/>
      <c r="F41" s="67"/>
      <c r="G41" s="67"/>
      <c r="H41" s="68"/>
      <c r="I41" s="70"/>
      <c r="J41" s="70"/>
      <c r="K41" s="70"/>
      <c r="L41" s="70"/>
      <c r="M41" s="71"/>
      <c r="N41" s="66"/>
      <c r="O41" s="67"/>
      <c r="P41" s="67"/>
      <c r="Q41" s="68"/>
      <c r="R41" s="70"/>
      <c r="S41" s="70"/>
      <c r="T41" s="66"/>
      <c r="U41" s="67"/>
      <c r="V41" s="67"/>
      <c r="W41" s="68"/>
      <c r="X41" s="70"/>
      <c r="Y41" s="70"/>
      <c r="Z41" s="70"/>
      <c r="AA41" s="71"/>
      <c r="AB41" s="66"/>
      <c r="AC41" s="67"/>
      <c r="AD41" s="67"/>
      <c r="AE41" s="68"/>
      <c r="AF41" s="70"/>
      <c r="AG41" s="70"/>
      <c r="AH41" s="66"/>
      <c r="AI41" s="67"/>
      <c r="AJ41" s="80"/>
      <c r="AK41" s="68"/>
      <c r="AL41" s="70"/>
      <c r="AM41" s="70"/>
      <c r="AN41" s="66"/>
      <c r="AO41" s="67"/>
      <c r="AP41" s="80"/>
      <c r="AQ41" s="68"/>
      <c r="AR41" s="70"/>
      <c r="AS41" s="70"/>
      <c r="AT41" s="66"/>
      <c r="AU41" s="67"/>
      <c r="AV41" s="80"/>
      <c r="AW41" s="68"/>
      <c r="AX41" s="70"/>
      <c r="AY41" s="70"/>
      <c r="AZ41" s="66"/>
      <c r="BA41" s="67"/>
      <c r="BB41" s="80"/>
    </row>
    <row r="42" spans="1:54" ht="12.5" thickBot="1" x14ac:dyDescent="0.4">
      <c r="A42" s="63">
        <v>37</v>
      </c>
      <c r="B42" s="63" t="str">
        <f t="shared" si="45"/>
        <v xml:space="preserve"> </v>
      </c>
      <c r="C42" s="81"/>
      <c r="D42" s="82"/>
      <c r="E42" s="83"/>
      <c r="F42" s="84"/>
      <c r="G42" s="84"/>
      <c r="H42" s="85"/>
      <c r="I42" s="86"/>
      <c r="J42" s="86"/>
      <c r="K42" s="86"/>
      <c r="L42" s="86"/>
      <c r="M42" s="87"/>
      <c r="N42" s="83"/>
      <c r="O42" s="84"/>
      <c r="P42" s="84"/>
      <c r="Q42" s="85"/>
      <c r="R42" s="86"/>
      <c r="S42" s="86"/>
      <c r="T42" s="83"/>
      <c r="U42" s="84"/>
      <c r="V42" s="84"/>
      <c r="W42" s="85"/>
      <c r="X42" s="86"/>
      <c r="Y42" s="86"/>
      <c r="Z42" s="86"/>
      <c r="AA42" s="87"/>
      <c r="AB42" s="83"/>
      <c r="AC42" s="84"/>
      <c r="AD42" s="84"/>
      <c r="AE42" s="85"/>
      <c r="AF42" s="86"/>
      <c r="AG42" s="86"/>
      <c r="AH42" s="83"/>
      <c r="AI42" s="84"/>
      <c r="AJ42" s="88"/>
      <c r="AK42" s="85"/>
      <c r="AL42" s="86"/>
      <c r="AM42" s="86"/>
      <c r="AN42" s="83"/>
      <c r="AO42" s="84"/>
      <c r="AP42" s="88"/>
      <c r="AQ42" s="85"/>
      <c r="AR42" s="86"/>
      <c r="AS42" s="86"/>
      <c r="AT42" s="83"/>
      <c r="AU42" s="84"/>
      <c r="AV42" s="88"/>
      <c r="AW42" s="85"/>
      <c r="AX42" s="86"/>
      <c r="AY42" s="86"/>
      <c r="AZ42" s="83"/>
      <c r="BA42" s="84"/>
      <c r="BB42" s="88"/>
    </row>
  </sheetData>
  <dataValidations count="3">
    <dataValidation type="date" operator="greaterThan" allowBlank="1" showErrorMessage="1" errorTitle="Incorrect Expiry Date" error="Expiry date must be greater than the issue date" sqref="M6">
      <formula1>J6</formula1>
    </dataValidation>
    <dataValidation type="date" operator="greaterThan" allowBlank="1" showErrorMessage="1" errorTitle="Incorrect Expiry Date" error="Expiry date must be greater than the issue date" sqref="G6 P6 K6:L6">
      <formula1>F6</formula1>
    </dataValidation>
    <dataValidation type="date" operator="greaterThan" allowBlank="1" showInputMessage="1" showErrorMessage="1" errorTitle="Invalid Date" error="Please enter a valid date greater than 1 Jan 1990" sqref="F6 O6">
      <formula1>32874</formula1>
    </dataValidation>
  </dataValidations>
  <pageMargins left="0.7" right="0.7" top="0.75" bottom="0.75" header="0.3" footer="0.3"/>
  <customProperties>
    <customPr name="LastActive" r:id="rId1"/>
  </customProperties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6:C43"/>
  <sheetViews>
    <sheetView workbookViewId="0">
      <selection activeCell="A7" sqref="A7:A43"/>
    </sheetView>
  </sheetViews>
  <sheetFormatPr defaultRowHeight="14.5" x14ac:dyDescent="0.35"/>
  <cols>
    <col min="3" max="3" width="16" customWidth="1"/>
  </cols>
  <sheetData>
    <row r="6" spans="1:3" x14ac:dyDescent="0.35">
      <c r="C6" t="s">
        <v>99</v>
      </c>
    </row>
    <row r="7" spans="1:3" x14ac:dyDescent="0.35">
      <c r="A7">
        <v>1</v>
      </c>
      <c r="C7" s="155" t="s">
        <v>1361</v>
      </c>
    </row>
    <row r="8" spans="1:3" x14ac:dyDescent="0.35">
      <c r="A8">
        <v>2</v>
      </c>
      <c r="C8" s="156" t="s">
        <v>1362</v>
      </c>
    </row>
    <row r="9" spans="1:3" x14ac:dyDescent="0.35">
      <c r="A9">
        <v>3</v>
      </c>
      <c r="C9" s="156" t="s">
        <v>1366</v>
      </c>
    </row>
    <row r="10" spans="1:3" x14ac:dyDescent="0.35">
      <c r="A10">
        <v>4</v>
      </c>
      <c r="C10" s="156" t="s">
        <v>1367</v>
      </c>
    </row>
    <row r="11" spans="1:3" x14ac:dyDescent="0.35">
      <c r="A11">
        <v>5</v>
      </c>
      <c r="C11" s="156" t="s">
        <v>1368</v>
      </c>
    </row>
    <row r="12" spans="1:3" x14ac:dyDescent="0.35">
      <c r="A12">
        <v>6</v>
      </c>
      <c r="C12" s="156" t="s">
        <v>1369</v>
      </c>
    </row>
    <row r="13" spans="1:3" x14ac:dyDescent="0.35">
      <c r="A13">
        <v>7</v>
      </c>
      <c r="C13" s="156" t="s">
        <v>1370</v>
      </c>
    </row>
    <row r="14" spans="1:3" x14ac:dyDescent="0.35">
      <c r="A14">
        <v>8</v>
      </c>
      <c r="C14" s="156" t="s">
        <v>1371</v>
      </c>
    </row>
    <row r="15" spans="1:3" x14ac:dyDescent="0.35">
      <c r="A15">
        <v>9</v>
      </c>
      <c r="C15" s="156" t="s">
        <v>1372</v>
      </c>
    </row>
    <row r="16" spans="1:3" x14ac:dyDescent="0.35">
      <c r="A16">
        <v>10</v>
      </c>
      <c r="C16" s="156" t="s">
        <v>1373</v>
      </c>
    </row>
    <row r="17" spans="1:3" x14ac:dyDescent="0.35">
      <c r="A17">
        <v>11</v>
      </c>
      <c r="C17" s="156" t="s">
        <v>1374</v>
      </c>
    </row>
    <row r="18" spans="1:3" x14ac:dyDescent="0.35">
      <c r="A18">
        <v>12</v>
      </c>
      <c r="C18" s="156" t="s">
        <v>1375</v>
      </c>
    </row>
    <row r="19" spans="1:3" x14ac:dyDescent="0.35">
      <c r="A19">
        <v>13</v>
      </c>
      <c r="C19" s="156" t="s">
        <v>1376</v>
      </c>
    </row>
    <row r="20" spans="1:3" x14ac:dyDescent="0.35">
      <c r="A20">
        <v>14</v>
      </c>
      <c r="C20" s="156" t="s">
        <v>1377</v>
      </c>
    </row>
    <row r="21" spans="1:3" x14ac:dyDescent="0.35">
      <c r="A21">
        <v>15</v>
      </c>
      <c r="C21" s="156" t="s">
        <v>1378</v>
      </c>
    </row>
    <row r="22" spans="1:3" x14ac:dyDescent="0.35">
      <c r="A22">
        <v>16</v>
      </c>
      <c r="C22" s="156" t="s">
        <v>1379</v>
      </c>
    </row>
    <row r="23" spans="1:3" x14ac:dyDescent="0.35">
      <c r="A23">
        <v>17</v>
      </c>
      <c r="C23" s="156" t="s">
        <v>1380</v>
      </c>
    </row>
    <row r="24" spans="1:3" x14ac:dyDescent="0.35">
      <c r="A24">
        <v>18</v>
      </c>
      <c r="C24" s="156" t="s">
        <v>1381</v>
      </c>
    </row>
    <row r="25" spans="1:3" x14ac:dyDescent="0.35">
      <c r="A25">
        <v>19</v>
      </c>
      <c r="C25" s="156"/>
    </row>
    <row r="26" spans="1:3" x14ac:dyDescent="0.35">
      <c r="A26">
        <v>20</v>
      </c>
      <c r="C26" s="156"/>
    </row>
    <row r="27" spans="1:3" x14ac:dyDescent="0.35">
      <c r="A27">
        <v>21</v>
      </c>
      <c r="C27" s="156"/>
    </row>
    <row r="28" spans="1:3" x14ac:dyDescent="0.35">
      <c r="A28">
        <v>22</v>
      </c>
      <c r="C28" s="156"/>
    </row>
    <row r="29" spans="1:3" x14ac:dyDescent="0.35">
      <c r="A29">
        <v>23</v>
      </c>
      <c r="C29" s="156"/>
    </row>
    <row r="30" spans="1:3" x14ac:dyDescent="0.35">
      <c r="A30">
        <v>24</v>
      </c>
      <c r="C30" s="156"/>
    </row>
    <row r="31" spans="1:3" x14ac:dyDescent="0.35">
      <c r="A31">
        <v>25</v>
      </c>
      <c r="C31" s="156"/>
    </row>
    <row r="32" spans="1:3" x14ac:dyDescent="0.35">
      <c r="A32">
        <v>26</v>
      </c>
      <c r="C32" s="156"/>
    </row>
    <row r="33" spans="1:3" x14ac:dyDescent="0.35">
      <c r="A33">
        <v>27</v>
      </c>
      <c r="C33" s="156"/>
    </row>
    <row r="34" spans="1:3" x14ac:dyDescent="0.35">
      <c r="A34">
        <v>28</v>
      </c>
      <c r="C34" s="156"/>
    </row>
    <row r="35" spans="1:3" x14ac:dyDescent="0.35">
      <c r="A35">
        <v>29</v>
      </c>
      <c r="C35" s="156"/>
    </row>
    <row r="36" spans="1:3" x14ac:dyDescent="0.35">
      <c r="A36">
        <v>30</v>
      </c>
      <c r="C36" s="156"/>
    </row>
    <row r="37" spans="1:3" x14ac:dyDescent="0.35">
      <c r="A37">
        <v>31</v>
      </c>
      <c r="C37" s="156"/>
    </row>
    <row r="38" spans="1:3" x14ac:dyDescent="0.35">
      <c r="A38">
        <v>32</v>
      </c>
      <c r="C38" s="156"/>
    </row>
    <row r="39" spans="1:3" x14ac:dyDescent="0.35">
      <c r="A39">
        <v>33</v>
      </c>
      <c r="C39" s="156"/>
    </row>
    <row r="40" spans="1:3" x14ac:dyDescent="0.35">
      <c r="A40">
        <v>34</v>
      </c>
      <c r="C40" s="156"/>
    </row>
    <row r="41" spans="1:3" x14ac:dyDescent="0.35">
      <c r="A41">
        <v>35</v>
      </c>
      <c r="C41" s="156"/>
    </row>
    <row r="42" spans="1:3" x14ac:dyDescent="0.35">
      <c r="A42">
        <v>36</v>
      </c>
      <c r="C42" s="156"/>
    </row>
    <row r="43" spans="1:3" x14ac:dyDescent="0.35">
      <c r="A43">
        <v>37</v>
      </c>
      <c r="C43" s="157"/>
    </row>
  </sheetData>
  <pageMargins left="0.7" right="0.7" top="0.75" bottom="0.75" header="0.3" footer="0.3"/>
  <customProperties>
    <customPr name="LastActive" r:id="rId1"/>
  </customPropertie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C1:C37"/>
  <sheetViews>
    <sheetView topLeftCell="C6" workbookViewId="0">
      <selection activeCell="C7" sqref="C7"/>
    </sheetView>
  </sheetViews>
  <sheetFormatPr defaultRowHeight="14.5" x14ac:dyDescent="0.35"/>
  <cols>
    <col min="1" max="2" width="0" hidden="1" customWidth="1"/>
    <col min="3" max="3" width="15" bestFit="1" customWidth="1"/>
  </cols>
  <sheetData>
    <row r="1" spans="3:3" hidden="1" x14ac:dyDescent="0.35"/>
    <row r="2" spans="3:3" hidden="1" x14ac:dyDescent="0.35"/>
    <row r="3" spans="3:3" hidden="1" x14ac:dyDescent="0.35"/>
    <row r="4" spans="3:3" hidden="1" x14ac:dyDescent="0.35"/>
    <row r="5" spans="3:3" hidden="1" x14ac:dyDescent="0.35"/>
    <row r="6" spans="3:3" x14ac:dyDescent="0.35">
      <c r="C6" s="167" t="s">
        <v>1387</v>
      </c>
    </row>
    <row r="7" spans="3:3" x14ac:dyDescent="0.35">
      <c r="C7" s="155" t="s">
        <v>79</v>
      </c>
    </row>
    <row r="8" spans="3:3" x14ac:dyDescent="0.35">
      <c r="C8" s="156" t="s">
        <v>82</v>
      </c>
    </row>
    <row r="9" spans="3:3" x14ac:dyDescent="0.35">
      <c r="C9" s="156" t="s">
        <v>80</v>
      </c>
    </row>
    <row r="10" spans="3:3" x14ac:dyDescent="0.35">
      <c r="C10" s="156" t="s">
        <v>90</v>
      </c>
    </row>
    <row r="11" spans="3:3" x14ac:dyDescent="0.35">
      <c r="C11" s="156" t="s">
        <v>77</v>
      </c>
    </row>
    <row r="12" spans="3:3" x14ac:dyDescent="0.35">
      <c r="C12" s="156" t="s">
        <v>84</v>
      </c>
    </row>
    <row r="13" spans="3:3" x14ac:dyDescent="0.35">
      <c r="C13" s="156" t="s">
        <v>93</v>
      </c>
    </row>
    <row r="14" spans="3:3" x14ac:dyDescent="0.35">
      <c r="C14" s="156" t="s">
        <v>86</v>
      </c>
    </row>
    <row r="15" spans="3:3" x14ac:dyDescent="0.35">
      <c r="C15" s="156" t="s">
        <v>83</v>
      </c>
    </row>
    <row r="16" spans="3:3" x14ac:dyDescent="0.35">
      <c r="C16" s="156" t="s">
        <v>13</v>
      </c>
    </row>
    <row r="17" spans="3:3" x14ac:dyDescent="0.35">
      <c r="C17" s="156" t="s">
        <v>94</v>
      </c>
    </row>
    <row r="18" spans="3:3" x14ac:dyDescent="0.35">
      <c r="C18" s="156" t="s">
        <v>85</v>
      </c>
    </row>
    <row r="19" spans="3:3" x14ac:dyDescent="0.35">
      <c r="C19" s="156" t="s">
        <v>81</v>
      </c>
    </row>
    <row r="20" spans="3:3" x14ac:dyDescent="0.35">
      <c r="C20" s="156" t="s">
        <v>89</v>
      </c>
    </row>
    <row r="21" spans="3:3" x14ac:dyDescent="0.35">
      <c r="C21" s="156" t="s">
        <v>88</v>
      </c>
    </row>
    <row r="22" spans="3:3" x14ac:dyDescent="0.35">
      <c r="C22" s="156"/>
    </row>
    <row r="23" spans="3:3" x14ac:dyDescent="0.35">
      <c r="C23" s="156"/>
    </row>
    <row r="24" spans="3:3" x14ac:dyDescent="0.35">
      <c r="C24" s="156"/>
    </row>
    <row r="25" spans="3:3" x14ac:dyDescent="0.35">
      <c r="C25" s="156"/>
    </row>
    <row r="26" spans="3:3" x14ac:dyDescent="0.35">
      <c r="C26" s="156"/>
    </row>
    <row r="27" spans="3:3" x14ac:dyDescent="0.35">
      <c r="C27" s="156"/>
    </row>
    <row r="28" spans="3:3" x14ac:dyDescent="0.35">
      <c r="C28" s="156"/>
    </row>
    <row r="29" spans="3:3" x14ac:dyDescent="0.35">
      <c r="C29" s="156"/>
    </row>
    <row r="30" spans="3:3" x14ac:dyDescent="0.35">
      <c r="C30" s="156"/>
    </row>
    <row r="31" spans="3:3" x14ac:dyDescent="0.35">
      <c r="C31" s="156"/>
    </row>
    <row r="32" spans="3:3" x14ac:dyDescent="0.35">
      <c r="C32" s="156"/>
    </row>
    <row r="33" spans="3:3" x14ac:dyDescent="0.35">
      <c r="C33" s="156"/>
    </row>
    <row r="34" spans="3:3" x14ac:dyDescent="0.35">
      <c r="C34" s="156"/>
    </row>
    <row r="35" spans="3:3" x14ac:dyDescent="0.35">
      <c r="C35" s="156"/>
    </row>
    <row r="36" spans="3:3" x14ac:dyDescent="0.35">
      <c r="C36" s="156"/>
    </row>
    <row r="37" spans="3:3" x14ac:dyDescent="0.35">
      <c r="C37" s="157"/>
    </row>
  </sheetData>
  <sortState ref="C7:D31">
    <sortCondition ref="C7"/>
  </sortState>
  <pageMargins left="0.7" right="0.7" top="0.75" bottom="0.75" header="0.3" footer="0.3"/>
  <customProperties>
    <customPr name="LastActive" r:id="rId1"/>
  </customPropertie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8</vt:i4>
      </vt:variant>
    </vt:vector>
  </HeadingPairs>
  <TitlesOfParts>
    <vt:vector size="20" baseType="lpstr">
      <vt:lpstr>Templates</vt:lpstr>
      <vt:lpstr>Data</vt:lpstr>
      <vt:lpstr>Dispatch Sheet</vt:lpstr>
      <vt:lpstr>South African Currencies</vt:lpstr>
      <vt:lpstr>Old Dispatch Sheet</vt:lpstr>
      <vt:lpstr>Exchange Rate</vt:lpstr>
      <vt:lpstr>Countries</vt:lpstr>
      <vt:lpstr>Dashboard</vt:lpstr>
      <vt:lpstr>Drivers</vt:lpstr>
      <vt:lpstr>Horses</vt:lpstr>
      <vt:lpstr>Trailers</vt:lpstr>
      <vt:lpstr>Inventory</vt:lpstr>
      <vt:lpstr>BillingCategoryTemplate</vt:lpstr>
      <vt:lpstr>NewPointTemplate</vt:lpstr>
      <vt:lpstr>NumberOfPoints</vt:lpstr>
      <vt:lpstr>point_1</vt:lpstr>
      <vt:lpstr>Templates!POINT_RANGE</vt:lpstr>
      <vt:lpstr>'Dispatch Sheet'!Print_Area</vt:lpstr>
      <vt:lpstr>'Old Dispatch Sheet'!Print_Area</vt:lpstr>
      <vt:lpstr>Templates!Print_Area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Valentino Nhlabano</dc:creator>
  <cp:lastModifiedBy>Windows User</cp:lastModifiedBy>
  <cp:lastPrinted>2018-03-11T15:02:18Z</cp:lastPrinted>
  <dcterms:created xsi:type="dcterms:W3CDTF">2018-01-26T15:47:13Z</dcterms:created>
  <dcterms:modified xsi:type="dcterms:W3CDTF">2018-03-30T10:40:44Z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meMachineEnabled">
    <vt:bool>true</vt:bool>
  </property>
</Properties>
</file>